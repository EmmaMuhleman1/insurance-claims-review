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Haw Creek Pressure Washing LLC/"/>
    </mc:Choice>
  </mc:AlternateContent>
  <xr:revisionPtr revIDLastSave="0" documentId="13_ncr:1_{5A8134FA-7361-0545-A874-EA67742F0EB5}" xr6:coauthVersionLast="47" xr6:coauthVersionMax="47" xr10:uidLastSave="{00000000-0000-0000-0000-000000000000}"/>
  <bookViews>
    <workbookView xWindow="41640" yWindow="1640" windowWidth="25820" windowHeight="16440" xr2:uid="{00000000-000D-0000-FFFF-FFFF00000000}"/>
  </bookViews>
  <sheets>
    <sheet name="InvoiceSummary" sheetId="1" r:id="rId1"/>
    <sheet name="LookupList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3" i="1" l="1"/>
  <c r="G3" i="1"/>
  <c r="G4" i="1"/>
  <c r="G5" i="1"/>
  <c r="G6" i="1"/>
  <c r="G7" i="1"/>
  <c r="G8" i="1"/>
  <c r="G9" i="1"/>
  <c r="G10" i="1"/>
  <c r="G11" i="1"/>
  <c r="G12" i="1"/>
  <c r="G14" i="1"/>
  <c r="G2" i="1"/>
  <c r="B15" i="1"/>
  <c r="G15" i="1" l="1"/>
  <c r="G20" i="1" s="1"/>
</calcChain>
</file>

<file path=xl/sharedStrings.xml><?xml version="1.0" encoding="utf-8"?>
<sst xmlns="http://schemas.openxmlformats.org/spreadsheetml/2006/main" count="66" uniqueCount="34">
  <si>
    <t>Date</t>
  </si>
  <si>
    <t>Hours</t>
  </si>
  <si>
    <t>Matter Number</t>
  </si>
  <si>
    <t>Matter Name</t>
  </si>
  <si>
    <t>Activity</t>
  </si>
  <si>
    <t>Pay Rate</t>
  </si>
  <si>
    <t>Ext Rate (Earnings)</t>
  </si>
  <si>
    <t>Consultant</t>
  </si>
  <si>
    <t>Adjuster</t>
  </si>
  <si>
    <t>Total</t>
  </si>
  <si>
    <t>Subtotals</t>
  </si>
  <si>
    <t>Mileage</t>
  </si>
  <si>
    <t>Insured</t>
  </si>
  <si>
    <t>Vendors</t>
  </si>
  <si>
    <t>Research</t>
  </si>
  <si>
    <t>Report</t>
  </si>
  <si>
    <t>DO NOT DELETE THIS WORK SHEET</t>
  </si>
  <si>
    <t>ActivityTypes</t>
  </si>
  <si>
    <t>Claim #:</t>
  </si>
  <si>
    <t>Budget:</t>
  </si>
  <si>
    <t>426600.4053-00</t>
  </si>
  <si>
    <t>HAW CREEK PRESSURE WASHING LLC</t>
  </si>
  <si>
    <t>Mr. Brad Vifquain</t>
  </si>
  <si>
    <t>Hanover Insurance</t>
  </si>
  <si>
    <t>440 Lincoln St</t>
  </si>
  <si>
    <t>Worcester, MA 01615-</t>
  </si>
  <si>
    <t>BVifquain@Hanover.com</t>
  </si>
  <si>
    <t>85-00843995</t>
  </si>
  <si>
    <t>File Review &amp; Client Contact</t>
  </si>
  <si>
    <t>Research &amp; Technical Analysis</t>
  </si>
  <si>
    <t>Report &amp; Spreadsheet</t>
  </si>
  <si>
    <t>10/2/25 - 10/4/25</t>
  </si>
  <si>
    <t>10/3/25 - 10/4/25</t>
  </si>
  <si>
    <t>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</si>
</sst>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  <numFmt numFmtId="165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0" fillId="2" borderId="1" xfId="0" applyFill="1" applyBorder="1"/>
    <xf numFmtId="2" fontId="0" fillId="0" borderId="0" xfId="0" applyNumberFormat="1"/>
    <xf numFmtId="44" fontId="0" fillId="0" borderId="0" xfId="1" applyFont="1"/>
    <xf numFmtId="44" fontId="0" fillId="2" borderId="1" xfId="0" applyNumberFormat="1" applyFill="1" applyBorder="1"/>
    <xf numFmtId="164" fontId="0" fillId="0" borderId="0" xfId="1" applyNumberFormat="1" applyFont="1"/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44" fontId="2" fillId="0" borderId="0" xfId="1" applyFont="1"/>
    <xf numFmtId="0" fontId="8" fillId="0" borderId="0" xfId="0" applyFont="1"/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49" fontId="0" fillId="0" borderId="0" xfId="0" applyNumberFormat="1" applyAlignment="1">
      <alignment horizontal="left"/>
    </xf>
    <xf numFmtId="0" fontId="9" fillId="0" borderId="0" xfId="0" applyFont="1" applyAlignment="1">
      <alignment horizontal="right"/>
    </xf>
    <xf numFmtId="44" fontId="10" fillId="0" borderId="0" xfId="1" applyFont="1"/>
    <xf numFmtId="165" fontId="10" fillId="0" borderId="0" xfId="1" applyNumberFormat="1" applyFont="1" applyAlignment="1">
      <alignment horizontal="left"/>
    </xf>
    <xf numFmtId="7" fontId="0" fillId="0" borderId="0" xfId="1" applyNumberFormat="1" applyFont="1"/>
    <xf numFmtId="14" fontId="0" fillId="0" borderId="0" xfId="0" applyNumberForma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7" sqref="B7"/>
    </sheetView>
  </sheetViews>
  <sheetFormatPr baseColWidth="10" defaultColWidth="8.83203125" defaultRowHeight="15" x14ac:dyDescent="0.2"/>
  <cols>
    <col min="1" max="1" width="33.83203125" customWidth="1"/>
    <col min="2" max="2" width="13.5" customWidth="1"/>
    <col min="3" max="3" width="26.1640625" customWidth="1"/>
    <col min="4" max="4" width="35.5" customWidth="1"/>
    <col min="5" max="5" width="26" customWidth="1"/>
    <col min="6" max="6" width="12.6640625" customWidth="1"/>
    <col min="7" max="7" width="24" customWidth="1"/>
    <col min="8" max="8" width="12.83203125" customWidth="1"/>
  </cols>
  <sheetData>
    <row r="1" spans="1:8" ht="16" x14ac:dyDescent="0.2">
      <c r="A1" s="15" t="s">
        <v>0</v>
      </c>
      <c r="B1" s="15" t="s">
        <v>1</v>
      </c>
      <c r="C1" s="15" t="s">
        <v>2</v>
      </c>
      <c r="D1" s="3" t="s">
        <v>3</v>
      </c>
      <c r="E1" s="3" t="s">
        <v>4</v>
      </c>
      <c r="F1" s="15" t="s">
        <v>5</v>
      </c>
      <c r="G1" s="15" t="s">
        <v>6</v>
      </c>
      <c r="H1" s="3" t="s">
        <v>7</v>
      </c>
    </row>
    <row r="2" spans="1:8" x14ac:dyDescent="0.2">
      <c r="A2" s="9" t="s">
        <v>31</v>
      </c>
      <c r="B2" s="5">
        <v>0.5</v>
      </c>
      <c r="C2" s="9" t="s">
        <v>20</v>
      </c>
      <c r="D2" t="s">
        <v>21</v>
      </c>
      <c r="E2" t="s">
        <v>28</v>
      </c>
      <c r="F2" s="20">
        <v>175</v>
      </c>
      <c r="G2" s="6">
        <f t="shared" ref="G2:G14" si="0">B2*F2</f>
        <v>87.5</v>
      </c>
      <c r="H2" t="s">
        <v>33</v>
      </c>
    </row>
    <row r="3" spans="1:8" x14ac:dyDescent="0.2">
      <c r="A3" s="21">
        <v>45933</v>
      </c>
      <c r="B3" s="5">
        <v>0.25</v>
      </c>
      <c r="C3" s="9" t="s">
        <v>20</v>
      </c>
      <c r="D3" t="s">
        <v>21</v>
      </c>
      <c r="E3" t="s">
        <v>12</v>
      </c>
      <c r="F3" s="20">
        <v>175</v>
      </c>
      <c r="G3" s="6">
        <f t="shared" si="0"/>
        <v>43.75</v>
      </c>
      <c r="H3" t="s">
        <v>33</v>
      </c>
    </row>
    <row r="4" spans="1:8" x14ac:dyDescent="0.2">
      <c r="A4" s="21">
        <v>45933</v>
      </c>
      <c r="B4" s="5">
        <v>0.25</v>
      </c>
      <c r="C4" s="9" t="s">
        <v>20</v>
      </c>
      <c r="D4" t="s">
        <v>21</v>
      </c>
      <c r="E4" t="s">
        <v>13</v>
      </c>
      <c r="F4" s="20">
        <v>175</v>
      </c>
      <c r="G4" s="6">
        <f t="shared" si="0"/>
        <v>43.75</v>
      </c>
      <c r="H4" t="s">
        <v>33</v>
      </c>
    </row>
    <row r="5" spans="1:8" x14ac:dyDescent="0.2">
      <c r="A5" s="21">
        <v>45933</v>
      </c>
      <c r="B5" s="5">
        <v>1</v>
      </c>
      <c r="C5" s="9" t="s">
        <v>20</v>
      </c>
      <c r="D5" t="s">
        <v>21</v>
      </c>
      <c r="E5" t="s">
        <v>29</v>
      </c>
      <c r="F5" s="20">
        <v>175</v>
      </c>
      <c r="G5" s="6">
        <f t="shared" si="0"/>
        <v>175</v>
      </c>
      <c r="H5" t="s">
        <v>33</v>
      </c>
    </row>
    <row r="6" spans="1:8" x14ac:dyDescent="0.2">
      <c r="A6" s="9" t="s">
        <v>32</v>
      </c>
      <c r="B6" s="5">
        <v>2</v>
      </c>
      <c r="C6" s="9" t="s">
        <v>20</v>
      </c>
      <c r="D6" t="s">
        <v>21</v>
      </c>
      <c r="E6" t="s">
        <v>30</v>
      </c>
      <c r="F6" s="20">
        <v>175</v>
      </c>
      <c r="G6" s="6">
        <f t="shared" si="0"/>
        <v>350</v>
      </c>
      <c r="H6" t="s">
        <v>33</v>
      </c>
    </row>
    <row r="7" spans="1:8" x14ac:dyDescent="0.2">
      <c r="A7" s="9"/>
      <c r="B7" s="5">
        <v>0</v>
      </c>
      <c r="C7" s="9" t="s">
        <v>20</v>
      </c>
      <c r="D7" t="s">
        <v>21</v>
      </c>
      <c r="F7" s="20">
        <v>175</v>
      </c>
      <c r="G7" s="6">
        <f t="shared" si="0"/>
        <v>0</v>
      </c>
    </row>
    <row r="8" spans="1:8" x14ac:dyDescent="0.2">
      <c r="A8" s="9"/>
      <c r="B8" s="5">
        <v>0</v>
      </c>
      <c r="C8" s="9" t="s">
        <v>20</v>
      </c>
      <c r="D8" t="s">
        <v>21</v>
      </c>
      <c r="F8" s="20">
        <v>175</v>
      </c>
      <c r="G8" s="6">
        <f t="shared" si="0"/>
        <v>0</v>
      </c>
    </row>
    <row r="9" spans="1:8" x14ac:dyDescent="0.2">
      <c r="A9" s="9"/>
      <c r="B9" s="5">
        <v>0</v>
      </c>
      <c r="C9" s="9" t="s">
        <v>20</v>
      </c>
      <c r="D9" t="s">
        <v>21</v>
      </c>
      <c r="F9" s="20">
        <v>175</v>
      </c>
      <c r="G9" s="6">
        <f t="shared" si="0"/>
        <v>0</v>
      </c>
    </row>
    <row r="10" spans="1:8" x14ac:dyDescent="0.2">
      <c r="A10" s="9"/>
      <c r="B10" s="5">
        <v>0</v>
      </c>
      <c r="C10" s="9" t="s">
        <v>20</v>
      </c>
      <c r="D10" t="s">
        <v>21</v>
      </c>
      <c r="F10" s="20">
        <v>175</v>
      </c>
      <c r="G10" s="6">
        <f t="shared" si="0"/>
        <v>0</v>
      </c>
    </row>
    <row r="11" spans="1:8" x14ac:dyDescent="0.2">
      <c r="A11" s="9"/>
      <c r="B11" s="5">
        <v>0</v>
      </c>
      <c r="C11" s="9" t="s">
        <v>20</v>
      </c>
      <c r="D11" t="s">
        <v>21</v>
      </c>
      <c r="F11" s="20">
        <v>175</v>
      </c>
      <c r="G11" s="6">
        <f t="shared" si="0"/>
        <v>0</v>
      </c>
    </row>
    <row r="12" spans="1:8" x14ac:dyDescent="0.2">
      <c r="A12" s="9"/>
      <c r="B12" s="5">
        <v>0</v>
      </c>
      <c r="C12" s="9" t="s">
        <v>20</v>
      </c>
      <c r="D12" t="s">
        <v>21</v>
      </c>
      <c r="F12" s="20">
        <v>175</v>
      </c>
      <c r="G12" s="6">
        <f t="shared" si="0"/>
        <v>0</v>
      </c>
    </row>
    <row r="13" spans="1:8" x14ac:dyDescent="0.2">
      <c r="A13" s="9"/>
      <c r="B13" s="5">
        <v>0</v>
      </c>
      <c r="C13" s="9" t="s">
        <v>20</v>
      </c>
      <c r="D13" t="s">
        <v>21</v>
      </c>
      <c r="F13" s="20">
        <v>175</v>
      </c>
      <c r="G13" s="6">
        <f t="shared" si="0"/>
        <v>0</v>
      </c>
    </row>
    <row r="14" spans="1:8" x14ac:dyDescent="0.2">
      <c r="A14" s="9"/>
      <c r="B14" s="5">
        <v>0</v>
      </c>
      <c r="C14" s="9" t="s">
        <v>20</v>
      </c>
      <c r="D14" t="s">
        <v>21</v>
      </c>
      <c r="F14" s="20">
        <v>175</v>
      </c>
      <c r="G14" s="6">
        <f t="shared" si="0"/>
        <v>0</v>
      </c>
    </row>
    <row r="15" spans="1:8" ht="17" thickBot="1" x14ac:dyDescent="0.25">
      <c r="A15" s="14" t="s">
        <v>10</v>
      </c>
      <c r="B15" s="4">
        <f>SUM(B2:B14)</f>
        <v>4</v>
      </c>
      <c r="C15" s="4"/>
      <c r="D15" s="4"/>
      <c r="E15" s="4"/>
      <c r="F15" s="7"/>
      <c r="G15" s="7">
        <f>SUM(G2:G14)</f>
        <v>700</v>
      </c>
      <c r="H15" s="4"/>
    </row>
    <row r="16" spans="1:8" ht="16" thickTop="1" x14ac:dyDescent="0.2"/>
    <row r="17" spans="1:7" ht="16" x14ac:dyDescent="0.2">
      <c r="D17" s="2" t="s">
        <v>11</v>
      </c>
      <c r="E17" s="1">
        <v>0</v>
      </c>
      <c r="F17" s="8">
        <v>0.7</v>
      </c>
      <c r="G17" s="6">
        <f>PRODUCT(F17,E17)</f>
        <v>0</v>
      </c>
    </row>
    <row r="20" spans="1:7" ht="19" x14ac:dyDescent="0.25">
      <c r="F20" s="10" t="s">
        <v>9</v>
      </c>
      <c r="G20" s="11">
        <f>G17+G15</f>
        <v>700</v>
      </c>
    </row>
    <row r="21" spans="1:7" ht="19" x14ac:dyDescent="0.25">
      <c r="F21" s="17"/>
      <c r="G21" s="18"/>
    </row>
    <row r="23" spans="1:7" ht="16" x14ac:dyDescent="0.2">
      <c r="A23" s="13" t="s">
        <v>8</v>
      </c>
      <c r="C23" s="2" t="s">
        <v>12</v>
      </c>
      <c r="D23" t="s">
        <v>21</v>
      </c>
    </row>
    <row r="24" spans="1:7" ht="16" x14ac:dyDescent="0.2">
      <c r="A24" t="s">
        <v>22</v>
      </c>
      <c r="C24" s="2" t="s">
        <v>18</v>
      </c>
      <c r="D24" s="16" t="s">
        <v>27</v>
      </c>
      <c r="E24" s="16"/>
    </row>
    <row r="25" spans="1:7" ht="16" x14ac:dyDescent="0.2">
      <c r="A25" t="s">
        <v>23</v>
      </c>
      <c r="C25" s="2" t="s">
        <v>19</v>
      </c>
      <c r="D25" s="19">
        <v>875</v>
      </c>
    </row>
    <row r="26" spans="1:7" x14ac:dyDescent="0.2">
      <c r="A26" t="s">
        <v>24</v>
      </c>
    </row>
    <row r="27" spans="1:7" x14ac:dyDescent="0.2">
      <c r="A27" t="s">
        <v>25</v>
      </c>
    </row>
    <row r="28" spans="1:7" x14ac:dyDescent="0.2">
      <c r="A28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60.33203125" customWidth="1"/>
    <col min="2" max="2" width="15.5" customWidth="1"/>
  </cols>
  <sheetData>
    <row r="1" spans="1:2" ht="26" x14ac:dyDescent="0.3">
      <c r="A1" s="12" t="s">
        <v>16</v>
      </c>
    </row>
    <row r="2" spans="1:2" x14ac:dyDescent="0.2">
      <c r="B2" s="1" t="s">
        <v>17</v>
      </c>
    </row>
    <row r="3" spans="1:2" x14ac:dyDescent="0.2">
      <c r="B3" t="s">
        <v>12</v>
      </c>
    </row>
    <row r="4" spans="1:2" x14ac:dyDescent="0.2">
      <c r="B4" t="s">
        <v>13</v>
      </c>
    </row>
    <row r="5" spans="1:2" x14ac:dyDescent="0.2">
      <c r="B5" t="s">
        <v>14</v>
      </c>
    </row>
    <row r="6" spans="1:2" x14ac:dyDescent="0.2">
      <c r="B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InvoiceSummary</vt:lpstr>
      <vt:lpstr>LookupLists</vt:lpstr>
    </vt:vector>
  </TitlesOfParts>
  <Company>GTECH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Padrone</dc:creator>
  <cp:lastModifiedBy>Emma Muhleman</cp:lastModifiedBy>
  <dcterms:created xsi:type="dcterms:W3CDTF">2011-08-02T18:59:28Z</dcterms:created>
  <dcterms:modified xsi:type="dcterms:W3CDTF">2025-10-04T18:11:12Z</dcterms:modified>
</cp:coreProperties>
</file>