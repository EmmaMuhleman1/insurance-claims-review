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autoCompressPictures="0" defaultThemeVersion="124226"/>
  <mc:AlternateContent xmlns:mc="http://schemas.openxmlformats.org/markup-compatibility/2006">
    <mc:Choice Requires="x15">
      <x15ac:absPath xmlns:x15ac="http://schemas.microsoft.com/office/spreadsheetml/2010/11/ac" url="/Users/tannerbeuret/Desktop/Loss Solutins Group/Jobs/Castle Hill Sewer Association/"/>
    </mc:Choice>
  </mc:AlternateContent>
  <xr:revisionPtr revIDLastSave="0" documentId="13_ncr:1_{A63651C8-97B1-064A-BA46-1E9135A401EB}" xr6:coauthVersionLast="47" xr6:coauthVersionMax="47" xr10:uidLastSave="{00000000-0000-0000-0000-000000000000}"/>
  <bookViews>
    <workbookView xWindow="3540" yWindow="920" windowWidth="28040" windowHeight="1946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52" i="1" l="1"/>
  <c r="E55" i="1"/>
  <c r="E58" i="1"/>
  <c r="E61" i="1"/>
  <c r="E64" i="1"/>
  <c r="K36" i="1"/>
  <c r="E20" i="1"/>
  <c r="H20" i="1"/>
  <c r="M20" i="1"/>
  <c r="M21" i="1"/>
  <c r="K21" i="1"/>
  <c r="H17" i="1"/>
  <c r="E17" i="1"/>
  <c r="L16" i="1"/>
  <c r="H16" i="1"/>
  <c r="E16" i="1"/>
  <c r="K17" i="1" l="1"/>
  <c r="M17" i="1" s="1"/>
  <c r="K16" i="1"/>
  <c r="M16" i="1" s="1"/>
  <c r="H46" i="1"/>
  <c r="E46" i="1"/>
  <c r="H45" i="1"/>
  <c r="E45" i="1"/>
  <c r="H44" i="1"/>
  <c r="E44" i="1"/>
  <c r="K46" i="1" l="1"/>
  <c r="M46" i="1" s="1"/>
  <c r="K45" i="1"/>
  <c r="M45" i="1" s="1"/>
  <c r="K44" i="1"/>
  <c r="M44" i="1" s="1"/>
  <c r="H43" i="1"/>
  <c r="E43" i="1"/>
  <c r="H11" i="1"/>
  <c r="H28" i="1"/>
  <c r="L14" i="1"/>
  <c r="L15" i="1"/>
  <c r="E13" i="1"/>
  <c r="H13" i="1"/>
  <c r="E14" i="1"/>
  <c r="H14" i="1"/>
  <c r="E15" i="1"/>
  <c r="H15" i="1"/>
  <c r="E18" i="1"/>
  <c r="H18" i="1"/>
  <c r="E19" i="1"/>
  <c r="H19" i="1"/>
  <c r="E30" i="1"/>
  <c r="H30" i="1"/>
  <c r="E31" i="1"/>
  <c r="H31" i="1"/>
  <c r="E32" i="1"/>
  <c r="H32" i="1"/>
  <c r="E33" i="1"/>
  <c r="H33" i="1"/>
  <c r="E34" i="1"/>
  <c r="H34" i="1"/>
  <c r="E11" i="1"/>
  <c r="K14" i="1" l="1"/>
  <c r="M14" i="1" s="1"/>
  <c r="K13" i="1"/>
  <c r="M13" i="1" s="1"/>
  <c r="K15" i="1"/>
  <c r="M15" i="1" s="1"/>
  <c r="K18" i="1"/>
  <c r="M18" i="1" s="1"/>
  <c r="K34" i="1"/>
  <c r="M34" i="1" s="1"/>
  <c r="K33" i="1"/>
  <c r="M33" i="1" s="1"/>
  <c r="E47" i="1"/>
  <c r="E49" i="1" s="1"/>
  <c r="K32" i="1"/>
  <c r="M32" i="1" s="1"/>
  <c r="K19" i="1"/>
  <c r="M19" i="1" s="1"/>
  <c r="K28" i="1"/>
  <c r="K30" i="1"/>
  <c r="M30" i="1" s="1"/>
  <c r="K31" i="1"/>
  <c r="M31" i="1" s="1"/>
  <c r="H36" i="1"/>
  <c r="K43" i="1"/>
  <c r="K47" i="1" s="1"/>
  <c r="K49" i="1" s="1"/>
  <c r="H47" i="1"/>
  <c r="H49" i="1" s="1"/>
  <c r="K11" i="1"/>
  <c r="M43" i="1" l="1"/>
  <c r="M47" i="1" s="1"/>
  <c r="M49" i="1" s="1"/>
  <c r="E29" i="1"/>
  <c r="H29" i="1"/>
  <c r="K29" i="1" s="1"/>
  <c r="E12" i="1"/>
  <c r="H12" i="1"/>
  <c r="K12" i="1" s="1"/>
  <c r="M29" i="1" l="1"/>
  <c r="E22" i="1"/>
  <c r="M12" i="1"/>
  <c r="E28" i="1"/>
  <c r="H35" i="1" l="1"/>
  <c r="H37" i="1" s="1"/>
  <c r="E35" i="1"/>
  <c r="K20" i="1"/>
  <c r="K22" i="1" s="1"/>
  <c r="H22" i="1" l="1"/>
  <c r="E37" i="1"/>
  <c r="K35" i="1"/>
  <c r="K37" i="1" s="1"/>
  <c r="M28" i="1"/>
  <c r="M35" i="1" s="1"/>
  <c r="M37" i="1" s="1"/>
  <c r="M11" i="1"/>
  <c r="M22" i="1" s="1"/>
</calcChain>
</file>

<file path=xl/sharedStrings.xml><?xml version="1.0" encoding="utf-8"?>
<sst xmlns="http://schemas.openxmlformats.org/spreadsheetml/2006/main" count="167" uniqueCount="66">
  <si>
    <t>REF #</t>
  </si>
  <si>
    <t>ITEM</t>
  </si>
  <si>
    <t>CLAIM PRESENTED</t>
  </si>
  <si>
    <t>LSG RESEARCHED RCV</t>
  </si>
  <si>
    <t>AGE (YEARS)</t>
  </si>
  <si>
    <t>USEFUL LIFE (YEARS)</t>
  </si>
  <si>
    <t>ACV (MAX DEPRECIATION 75%)</t>
  </si>
  <si>
    <t>DEPRECIATION%</t>
  </si>
  <si>
    <t>DEPRECIATION</t>
  </si>
  <si>
    <t>CONDITION</t>
  </si>
  <si>
    <t>NOTES</t>
  </si>
  <si>
    <t>QTY</t>
  </si>
  <si>
    <t>UNIT COST</t>
  </si>
  <si>
    <t>TOTAL</t>
  </si>
  <si>
    <t>SUB-TOTAL</t>
  </si>
  <si>
    <t>SALES TAX</t>
  </si>
  <si>
    <t>TOTAL PRESENTED</t>
  </si>
  <si>
    <t>TOTAL RESEARCHED RCV</t>
  </si>
  <si>
    <t>TOTAL ACV</t>
  </si>
  <si>
    <t>TOTAL DEPRECIATION</t>
  </si>
  <si>
    <t>INSURED: CASTLE HILL SEWER ASSOCIATION</t>
  </si>
  <si>
    <t xml:space="preserve">LSG MATTER #: 787200.12431-00 </t>
  </si>
  <si>
    <t>CLAIM #: FQD0768</t>
  </si>
  <si>
    <t>DATE OF LOSS: 8/20/2025</t>
  </si>
  <si>
    <t>CAUSE OF LOSS: FIRE</t>
  </si>
  <si>
    <t>WELD POWER SERVICE COMPANY, INC. (800-288-6016) ESTIMATE # 144690575</t>
  </si>
  <si>
    <t>41KW, 120/208V, 3PH, 60HZ, LP GAS FUEL ENGINE DRIVEN GEN-SET WITH LEVEL 2 SOUND AND WEATHER PROTECTED ALUMINUM ENCLOSURE</t>
  </si>
  <si>
    <t>SALES TAX (MA: 6.25%)</t>
  </si>
  <si>
    <t>WELD POWER SERVICE COMPANY, INC. (800-288-6016) ESTIMATE # 144469502</t>
  </si>
  <si>
    <t>WELD POWER LABOR TO SET UP/TEST &amp; BREAKDOWN TEMP GENERATOR</t>
  </si>
  <si>
    <t>DELIVERY &amp; PICKUP FEE - (ONE TIME CHARGE)</t>
  </si>
  <si>
    <t>ELECTRICAL SUBCONTRACTOR CONNECT TEMP GEN.</t>
  </si>
  <si>
    <t>A ONE TIME DELIVERY AND PICK UP FEE</t>
  </si>
  <si>
    <t xml:space="preserve">THE COST FOR AN ELECTRICAL SUBCONTRACTOR TO PERFORM THE ELECTRICAL CONNECTIONS FOR THE TEMP GENERATOR. </t>
  </si>
  <si>
    <t>RENTAL CABLE - 50' RUN</t>
  </si>
  <si>
    <t>RENTAL PIGTAIL</t>
  </si>
  <si>
    <t xml:space="preserve">THE COST FOR RENTING FIVE (5) HEAVY GAUGE CABLES USED TO CONNECT THE TEMPERARY GENERATOR. THIS IS A MONTHLY RATE. </t>
  </si>
  <si>
    <t>THE COST FOR RENTING FIVE (5) HEAVY GAUGE PIGTAILS FOR THE TEMP GENERATOR. THIS IS A MONTHLY RATE.</t>
  </si>
  <si>
    <t xml:space="preserve">THE COST OF RENTING THE TEMPERARY GENERATOR FOR ONE MONTH. THIS IS A MONTHLY RATE. </t>
  </si>
  <si>
    <t>ELECTRICAL SUPPLY KIT - LEVEL 1</t>
  </si>
  <si>
    <t>N/A</t>
  </si>
  <si>
    <t>RENTAL TEMP GENERATOR - MONTHLY RATE</t>
  </si>
  <si>
    <t>THE COST TO RENT THE TEMP GENERATOR FOR AN ADDITIONAL MONTH AFTER THE FIRST MONTH WILL BE THE THREE LINE ITEMS ON THE QUOTE LABELED RENTAL.</t>
  </si>
  <si>
    <t xml:space="preserve">COST FOR RENTAL GENERATOR FOR AN ADDITIONAL MONTH AFTER THE FIRST MONTH. </t>
  </si>
  <si>
    <t>INSTALLATION LABOR</t>
  </si>
  <si>
    <t>ELECTRICAL WORK TO BE PERFORMED BY ELECTRICAL SUBCONTRACTOR</t>
  </si>
  <si>
    <t>GENERATOR COST</t>
  </si>
  <si>
    <t>CRANE COST</t>
  </si>
  <si>
    <t>WIRE</t>
  </si>
  <si>
    <t xml:space="preserve">GILLETTE BRAND SP-410 COMMERCIAL GAS GENERATOR 41KW, 3PH, 120/208VOLT, 60HZ WITH A VENDOR MARK UP ON MATERIALS. </t>
  </si>
  <si>
    <t>ONE ELECTRICIAN FOR TWO (2) DAYS OF WORK</t>
  </si>
  <si>
    <t>ONE TECHNICIAN FOR TWO (2) DAYS OF WORK</t>
  </si>
  <si>
    <t xml:space="preserve">THE COST FOR A CRANE TO REMOVE THE EXISTING UNIT AND PLACE THE NEW UNIT. </t>
  </si>
  <si>
    <t>FREIGHT</t>
  </si>
  <si>
    <t xml:space="preserve">FREIGHT CHARGES TO SHIP THE UNIT. </t>
  </si>
  <si>
    <t xml:space="preserve">ROUGHLY THREE HUNDRED (300) FEET OF HEAVY GAUGE 2/0 AWG WIRE. A TOTAL OF FIVE (5) LINES WERE NEEDED FOR THE THREE (3) PHASE STYLE APPLICATION. WITH A VENDOR MARK UP ON MATERIALS. </t>
  </si>
  <si>
    <t>OTHER ELECTRICAL EQUIPMENT</t>
  </si>
  <si>
    <t>DISPOSAL</t>
  </si>
  <si>
    <t xml:space="preserve">ONE HUNDRED FIFTY (150) AMP THREE (3) POLE THERMAL CIRCUIT BREAKER, AND OTHER MISCELLANEOUS WIRE AND WIRE CONNECTORS. </t>
  </si>
  <si>
    <t>DISPOSAL OF THE ORIGINAL GEN-SET.</t>
  </si>
  <si>
    <t>AVERAGE</t>
  </si>
  <si>
    <t>MONTHLY RATE FOR A TEMP GENERATOR AFTER INICIAL CONNECTION</t>
  </si>
  <si>
    <t>THE COST FOR ONE ELECTRICAL SUPPLY KIT. THIS INCLUDES THINGS LIKE ELECTRICAL CONNECTORS, CONNECTION WIRE, WIRE LUBRICANT, ELECTRICAL TAPE, ETC.</t>
  </si>
  <si>
    <t xml:space="preserve">GENERATOR REPLACEMENT JOB TO REMOVE EXISTING UNIT AND INSTALL A NEW GILLETTE BRAND GENERATOR. MN: SP-410-60 (41 KILOWATT, 120/208 VOLT, 3 PHASES, 60 HERTZ, RAN ON LIQUEFIED PETROLEUM GAS, WITH A LEVEL 2 SOUND AND WEATHER PROTECTIVE HOUSING. THIS COST WAS PROVIDED TO US IN A LUMP SUM COST, WITH HELP FROM THE VENDOR WE WERE ABLE TO BREAK THIS COST DOWN AS FOLLOWS. </t>
  </si>
  <si>
    <t>WELD POWER SERVICE COMPANY, INC. (800-288-6016) MONTHLY RATE FOR THE TEMP GENERATOR AFTER INITIAL CONNECTION, GIVEN TO US BY KEVIN GEARY IN AN EMAIL TO BOB RECHNER ON 9/16/2025 AND ON ESTIMATE #144469502</t>
  </si>
  <si>
    <t>LABOR FOR WELD POWER TO DISCONNECT THE ORIGINAL GENERATOR, PLACE AND CONNECT THE TEMPORARY GENERATOR, TEST TO ENSURE IT IS WORKING PROPERLY, AND LATER DISMANTLE THE TEMPORARY SETUP ONCE THE MAIN GENERATOR HAS BEEN INSTALLED.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</si>
</sst>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9" x14ac:knownFonts="1">
    <font>
      <sz val="10"/>
      <name val="Arial"/>
    </font>
    <font>
      <sz val="8"/>
      <name val="Arial"/>
      <family val="2"/>
    </font>
    <font>
      <sz val="10"/>
      <name val="Arial"/>
      <family val="2"/>
    </font>
    <font>
      <u/>
      <sz val="10"/>
      <color theme="10"/>
      <name val="Arial"/>
      <family val="2"/>
    </font>
    <font>
      <u/>
      <sz val="10"/>
      <color theme="11"/>
      <name val="Arial"/>
      <family val="2"/>
    </font>
    <font>
      <sz val="10"/>
      <name val="Arial"/>
      <family val="2"/>
    </font>
    <font>
      <b/>
      <sz val="12"/>
      <name val="Arial"/>
      <family val="2"/>
    </font>
    <font>
      <sz val="12"/>
      <name val="Arial"/>
      <family val="2"/>
    </font>
    <font>
      <b/>
      <sz val="12"/>
      <color indexed="8"/>
      <name val="Arial"/>
      <family val="2"/>
    </font>
  </fonts>
  <fills count="5">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s>
  <borders count="34">
    <border>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000000"/>
      </top>
      <bottom style="thin">
        <color rgb="FF000000"/>
      </bottom>
      <diagonal/>
    </border>
    <border>
      <left style="medium">
        <color indexed="64"/>
      </left>
      <right style="thin">
        <color auto="1"/>
      </right>
      <top style="medium">
        <color indexed="64"/>
      </top>
      <bottom style="thin">
        <color rgb="FF000000"/>
      </bottom>
      <diagonal/>
    </border>
    <border>
      <left style="thin">
        <color auto="1"/>
      </left>
      <right style="thin">
        <color auto="1"/>
      </right>
      <top style="medium">
        <color indexed="64"/>
      </top>
      <bottom style="thin">
        <color rgb="FF000000"/>
      </bottom>
      <diagonal/>
    </border>
    <border>
      <left style="thin">
        <color auto="1"/>
      </left>
      <right style="medium">
        <color indexed="64"/>
      </right>
      <top style="medium">
        <color indexed="64"/>
      </top>
      <bottom style="thin">
        <color rgb="FF000000"/>
      </bottom>
      <diagonal/>
    </border>
    <border>
      <left style="medium">
        <color indexed="64"/>
      </left>
      <right style="thin">
        <color auto="1"/>
      </right>
      <top style="thin">
        <color rgb="FF000000"/>
      </top>
      <bottom style="thin">
        <color rgb="FF000000"/>
      </bottom>
      <diagonal/>
    </border>
    <border>
      <left style="thin">
        <color auto="1"/>
      </left>
      <right style="medium">
        <color indexed="64"/>
      </right>
      <top style="thin">
        <color rgb="FF000000"/>
      </top>
      <bottom style="thin">
        <color rgb="FF000000"/>
      </bottom>
      <diagonal/>
    </border>
    <border>
      <left style="medium">
        <color indexed="64"/>
      </left>
      <right style="thin">
        <color auto="1"/>
      </right>
      <top style="thin">
        <color rgb="FF000000"/>
      </top>
      <bottom style="medium">
        <color indexed="64"/>
      </bottom>
      <diagonal/>
    </border>
    <border>
      <left style="thin">
        <color auto="1"/>
      </left>
      <right style="thin">
        <color auto="1"/>
      </right>
      <top style="thin">
        <color rgb="FF000000"/>
      </top>
      <bottom style="medium">
        <color indexed="64"/>
      </bottom>
      <diagonal/>
    </border>
    <border>
      <left style="thin">
        <color auto="1"/>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136">
    <xf numFmtId="0" fontId="0" fillId="0" borderId="0" xfId="0"/>
    <xf numFmtId="0" fontId="6" fillId="0" borderId="0" xfId="0" applyFont="1" applyAlignment="1">
      <alignment horizontal="center"/>
    </xf>
    <xf numFmtId="0" fontId="6" fillId="0" borderId="0" xfId="0" applyFont="1"/>
    <xf numFmtId="0" fontId="7" fillId="0" borderId="0" xfId="0" applyFont="1"/>
    <xf numFmtId="0" fontId="7" fillId="0" borderId="0" xfId="0" applyFont="1" applyAlignment="1">
      <alignment horizontal="center"/>
    </xf>
    <xf numFmtId="0" fontId="6" fillId="0" borderId="0" xfId="0" applyFont="1" applyAlignment="1">
      <alignment vertical="center"/>
    </xf>
    <xf numFmtId="14" fontId="6" fillId="0" borderId="0" xfId="0" applyNumberFormat="1" applyFont="1" applyAlignment="1">
      <alignment horizontal="center"/>
    </xf>
    <xf numFmtId="0" fontId="6" fillId="0" borderId="0" xfId="0" applyFont="1" applyAlignment="1">
      <alignment horizontal="center" vertical="center"/>
    </xf>
    <xf numFmtId="0" fontId="7" fillId="0" borderId="0" xfId="0" applyFont="1" applyAlignment="1">
      <alignment horizontal="left" wrapText="1"/>
    </xf>
    <xf numFmtId="0" fontId="7" fillId="0" borderId="0" xfId="0" applyFont="1" applyAlignment="1">
      <alignment vertical="center"/>
    </xf>
    <xf numFmtId="0" fontId="6" fillId="3" borderId="12" xfId="0" applyFont="1" applyFill="1" applyBorder="1" applyAlignment="1">
      <alignment horizontal="center" vertical="center" wrapText="1"/>
    </xf>
    <xf numFmtId="0" fontId="6" fillId="3" borderId="12" xfId="0" applyFont="1" applyFill="1" applyBorder="1" applyAlignment="1">
      <alignment horizontal="center" vertical="center"/>
    </xf>
    <xf numFmtId="164" fontId="6" fillId="3" borderId="12" xfId="0" applyNumberFormat="1" applyFont="1" applyFill="1" applyBorder="1" applyAlignment="1">
      <alignment horizontal="center" vertical="center" wrapText="1"/>
    </xf>
    <xf numFmtId="0" fontId="7" fillId="2" borderId="16" xfId="0" applyFont="1" applyFill="1" applyBorder="1" applyAlignment="1">
      <alignment horizontal="center"/>
    </xf>
    <xf numFmtId="44" fontId="7" fillId="2" borderId="16" xfId="1" applyFont="1" applyFill="1" applyBorder="1" applyAlignment="1">
      <alignment horizontal="center"/>
    </xf>
    <xf numFmtId="9" fontId="7" fillId="2" borderId="16" xfId="6" applyFont="1" applyFill="1" applyBorder="1" applyAlignment="1">
      <alignment horizontal="center"/>
    </xf>
    <xf numFmtId="0" fontId="7" fillId="2" borderId="16" xfId="0" applyFont="1" applyFill="1" applyBorder="1" applyAlignment="1">
      <alignment horizontal="left" wrapText="1"/>
    </xf>
    <xf numFmtId="0" fontId="7" fillId="2" borderId="16" xfId="1" applyNumberFormat="1" applyFont="1" applyFill="1" applyBorder="1" applyAlignment="1">
      <alignment horizontal="center"/>
    </xf>
    <xf numFmtId="0" fontId="7" fillId="2" borderId="16" xfId="1" applyNumberFormat="1" applyFont="1" applyFill="1" applyBorder="1" applyAlignment="1">
      <alignment horizontal="center" wrapText="1"/>
    </xf>
    <xf numFmtId="44" fontId="6" fillId="2" borderId="13" xfId="1" applyFont="1" applyFill="1" applyBorder="1" applyAlignment="1">
      <alignment horizontal="center" vertical="center"/>
    </xf>
    <xf numFmtId="0" fontId="6" fillId="2" borderId="1" xfId="1" applyNumberFormat="1" applyFont="1" applyFill="1" applyBorder="1" applyAlignment="1"/>
    <xf numFmtId="0" fontId="6" fillId="2" borderId="2" xfId="1" applyNumberFormat="1" applyFont="1" applyFill="1" applyBorder="1" applyAlignment="1"/>
    <xf numFmtId="44" fontId="6" fillId="2" borderId="13" xfId="1" applyFont="1" applyFill="1" applyBorder="1" applyAlignment="1"/>
    <xf numFmtId="44" fontId="6" fillId="2" borderId="13" xfId="1" applyFont="1" applyFill="1" applyBorder="1" applyAlignment="1">
      <alignment horizontal="right"/>
    </xf>
    <xf numFmtId="44" fontId="7" fillId="2" borderId="15" xfId="1" applyFont="1" applyFill="1" applyBorder="1" applyAlignment="1"/>
    <xf numFmtId="44" fontId="7" fillId="2" borderId="7" xfId="1" applyFont="1" applyFill="1" applyBorder="1" applyAlignment="1"/>
    <xf numFmtId="44" fontId="7" fillId="2" borderId="9" xfId="1" applyFont="1" applyFill="1" applyBorder="1" applyAlignment="1"/>
    <xf numFmtId="44" fontId="7" fillId="0" borderId="15" xfId="1" applyFont="1" applyFill="1" applyBorder="1" applyAlignment="1">
      <alignment horizontal="right"/>
    </xf>
    <xf numFmtId="44" fontId="6" fillId="2" borderId="15" xfId="1" applyFont="1" applyFill="1" applyBorder="1" applyAlignment="1"/>
    <xf numFmtId="44" fontId="6" fillId="2" borderId="7" xfId="1" applyFont="1" applyFill="1" applyBorder="1" applyAlignment="1"/>
    <xf numFmtId="44" fontId="6" fillId="2" borderId="9" xfId="1" applyFont="1" applyFill="1" applyBorder="1" applyAlignment="1"/>
    <xf numFmtId="44" fontId="6" fillId="2" borderId="15" xfId="1" applyFont="1" applyFill="1" applyBorder="1" applyAlignment="1">
      <alignment horizontal="right"/>
    </xf>
    <xf numFmtId="0" fontId="6" fillId="0" borderId="0" xfId="0" applyFont="1" applyAlignment="1">
      <alignment horizontal="left" vertical="center" wrapText="1"/>
    </xf>
    <xf numFmtId="44" fontId="7" fillId="0" borderId="0" xfId="0" applyNumberFormat="1" applyFont="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left" wrapText="1"/>
    </xf>
    <xf numFmtId="0" fontId="7" fillId="2" borderId="18" xfId="0" applyFont="1" applyFill="1" applyBorder="1" applyAlignment="1">
      <alignment horizontal="center"/>
    </xf>
    <xf numFmtId="44" fontId="7" fillId="2" borderId="18" xfId="1" applyFont="1" applyFill="1" applyBorder="1" applyAlignment="1">
      <alignment horizontal="center"/>
    </xf>
    <xf numFmtId="0" fontId="7" fillId="2" borderId="18" xfId="1" applyNumberFormat="1" applyFont="1" applyFill="1" applyBorder="1" applyAlignment="1">
      <alignment horizontal="center"/>
    </xf>
    <xf numFmtId="9" fontId="7" fillId="2" borderId="18" xfId="6" applyFont="1" applyFill="1" applyBorder="1" applyAlignment="1">
      <alignment horizontal="center"/>
    </xf>
    <xf numFmtId="0" fontId="7" fillId="2" borderId="18" xfId="1" applyNumberFormat="1" applyFont="1" applyFill="1" applyBorder="1" applyAlignment="1">
      <alignment horizontal="center" wrapText="1"/>
    </xf>
    <xf numFmtId="0" fontId="7" fillId="2" borderId="19" xfId="0" applyFont="1" applyFill="1" applyBorder="1" applyAlignment="1">
      <alignment horizontal="left" wrapText="1"/>
    </xf>
    <xf numFmtId="0" fontId="7" fillId="0" borderId="20" xfId="0" applyFont="1" applyBorder="1" applyAlignment="1">
      <alignment horizontal="center"/>
    </xf>
    <xf numFmtId="0" fontId="7" fillId="2" borderId="21" xfId="0" applyFont="1" applyFill="1" applyBorder="1" applyAlignment="1">
      <alignment horizontal="left" wrapText="1"/>
    </xf>
    <xf numFmtId="0" fontId="7" fillId="2" borderId="20" xfId="0" applyFont="1" applyFill="1" applyBorder="1" applyAlignment="1">
      <alignment horizontal="center"/>
    </xf>
    <xf numFmtId="0" fontId="7" fillId="0" borderId="22" xfId="0" applyFont="1" applyBorder="1" applyAlignment="1">
      <alignment horizontal="center"/>
    </xf>
    <xf numFmtId="0" fontId="7" fillId="2" borderId="23" xfId="0" applyFont="1" applyFill="1" applyBorder="1" applyAlignment="1">
      <alignment horizontal="left" wrapText="1"/>
    </xf>
    <xf numFmtId="0" fontId="7" fillId="2" borderId="23" xfId="0" applyFont="1" applyFill="1" applyBorder="1" applyAlignment="1">
      <alignment horizontal="center"/>
    </xf>
    <xf numFmtId="44" fontId="7" fillId="2" borderId="23" xfId="1" applyFont="1" applyFill="1" applyBorder="1" applyAlignment="1">
      <alignment horizontal="center"/>
    </xf>
    <xf numFmtId="0" fontId="7" fillId="2" borderId="23" xfId="1" applyNumberFormat="1" applyFont="1" applyFill="1" applyBorder="1" applyAlignment="1">
      <alignment horizontal="center"/>
    </xf>
    <xf numFmtId="9" fontId="7" fillId="2" borderId="23" xfId="6" applyFont="1" applyFill="1" applyBorder="1" applyAlignment="1">
      <alignment horizontal="center"/>
    </xf>
    <xf numFmtId="0" fontId="7" fillId="2" borderId="23" xfId="1" applyNumberFormat="1" applyFont="1" applyFill="1" applyBorder="1" applyAlignment="1">
      <alignment horizontal="center" wrapText="1"/>
    </xf>
    <xf numFmtId="0" fontId="7" fillId="2" borderId="24" xfId="0" applyFont="1" applyFill="1" applyBorder="1" applyAlignment="1">
      <alignment horizontal="left" wrapText="1"/>
    </xf>
    <xf numFmtId="0" fontId="7" fillId="2" borderId="22" xfId="0" applyFont="1" applyFill="1" applyBorder="1" applyAlignment="1">
      <alignment horizontal="center"/>
    </xf>
    <xf numFmtId="0" fontId="7" fillId="2" borderId="25" xfId="0" applyFont="1" applyFill="1" applyBorder="1" applyAlignment="1">
      <alignment horizontal="center"/>
    </xf>
    <xf numFmtId="0" fontId="7" fillId="2" borderId="25" xfId="0" applyFont="1" applyFill="1" applyBorder="1" applyAlignment="1">
      <alignment horizontal="left" wrapText="1"/>
    </xf>
    <xf numFmtId="44" fontId="7" fillId="2" borderId="25" xfId="1" applyFont="1" applyFill="1" applyBorder="1" applyAlignment="1">
      <alignment horizontal="center"/>
    </xf>
    <xf numFmtId="0" fontId="7" fillId="2" borderId="25" xfId="1" applyNumberFormat="1" applyFont="1" applyFill="1" applyBorder="1" applyAlignment="1">
      <alignment horizontal="center"/>
    </xf>
    <xf numFmtId="9" fontId="7" fillId="2" borderId="25" xfId="6" applyFont="1" applyFill="1" applyBorder="1" applyAlignment="1">
      <alignment horizontal="center"/>
    </xf>
    <xf numFmtId="0" fontId="7" fillId="2" borderId="25" xfId="1" applyNumberFormat="1" applyFont="1" applyFill="1" applyBorder="1" applyAlignment="1">
      <alignment horizontal="center" wrapText="1"/>
    </xf>
    <xf numFmtId="0" fontId="7" fillId="0" borderId="25" xfId="0" applyFont="1" applyBorder="1" applyAlignment="1">
      <alignment horizontal="left" wrapText="1"/>
    </xf>
    <xf numFmtId="44" fontId="7" fillId="0" borderId="25" xfId="1" applyFont="1" applyFill="1" applyBorder="1" applyAlignment="1">
      <alignment horizontal="center"/>
    </xf>
    <xf numFmtId="0" fontId="7" fillId="0" borderId="25" xfId="1" applyNumberFormat="1" applyFont="1" applyFill="1" applyBorder="1" applyAlignment="1">
      <alignment horizontal="center"/>
    </xf>
    <xf numFmtId="0" fontId="7" fillId="0" borderId="25" xfId="1" applyNumberFormat="1" applyFont="1" applyFill="1" applyBorder="1" applyAlignment="1">
      <alignment horizontal="center" wrapText="1"/>
    </xf>
    <xf numFmtId="0" fontId="7" fillId="2" borderId="26" xfId="0" applyFont="1" applyFill="1" applyBorder="1" applyAlignment="1">
      <alignment horizontal="center"/>
    </xf>
    <xf numFmtId="0" fontId="7" fillId="2" borderId="27" xfId="0" applyFont="1" applyFill="1" applyBorder="1" applyAlignment="1">
      <alignment horizontal="left" wrapText="1"/>
    </xf>
    <xf numFmtId="0" fontId="7" fillId="2" borderId="27" xfId="0" applyFont="1" applyFill="1" applyBorder="1" applyAlignment="1">
      <alignment horizontal="center"/>
    </xf>
    <xf numFmtId="44" fontId="7" fillId="2" borderId="27" xfId="1" applyFont="1" applyFill="1" applyBorder="1" applyAlignment="1">
      <alignment horizontal="center"/>
    </xf>
    <xf numFmtId="0" fontId="7" fillId="2" borderId="27" xfId="1" applyNumberFormat="1" applyFont="1" applyFill="1" applyBorder="1" applyAlignment="1">
      <alignment horizontal="center"/>
    </xf>
    <xf numFmtId="9" fontId="7" fillId="2" borderId="27" xfId="6" applyFont="1" applyFill="1" applyBorder="1" applyAlignment="1">
      <alignment horizontal="center"/>
    </xf>
    <xf numFmtId="0" fontId="7" fillId="2" borderId="27" xfId="1" applyNumberFormat="1" applyFont="1" applyFill="1" applyBorder="1" applyAlignment="1">
      <alignment horizontal="center" wrapText="1"/>
    </xf>
    <xf numFmtId="0" fontId="7" fillId="2" borderId="28" xfId="0" applyFont="1" applyFill="1" applyBorder="1" applyAlignment="1">
      <alignment horizontal="left" wrapText="1"/>
    </xf>
    <xf numFmtId="0" fontId="7" fillId="0" borderId="29" xfId="0" applyFont="1" applyBorder="1" applyAlignment="1">
      <alignment horizontal="center"/>
    </xf>
    <xf numFmtId="0" fontId="7" fillId="0" borderId="30" xfId="0" applyFont="1" applyBorder="1" applyAlignment="1">
      <alignment horizontal="left" wrapText="1"/>
    </xf>
    <xf numFmtId="0" fontId="7" fillId="2" borderId="29" xfId="0" applyFont="1" applyFill="1" applyBorder="1" applyAlignment="1">
      <alignment horizontal="center"/>
    </xf>
    <xf numFmtId="0" fontId="7" fillId="2" borderId="30" xfId="0" applyFont="1" applyFill="1" applyBorder="1" applyAlignment="1">
      <alignment horizontal="left" wrapText="1"/>
    </xf>
    <xf numFmtId="0" fontId="7" fillId="2" borderId="31" xfId="0" applyFont="1" applyFill="1" applyBorder="1" applyAlignment="1">
      <alignment horizontal="center"/>
    </xf>
    <xf numFmtId="0" fontId="7" fillId="2" borderId="32" xfId="0" applyFont="1" applyFill="1" applyBorder="1" applyAlignment="1">
      <alignment horizontal="left" wrapText="1"/>
    </xf>
    <xf numFmtId="0" fontId="7" fillId="2" borderId="32" xfId="0" applyFont="1" applyFill="1" applyBorder="1" applyAlignment="1">
      <alignment horizontal="center"/>
    </xf>
    <xf numFmtId="44" fontId="7" fillId="2" borderId="32" xfId="1" applyFont="1" applyFill="1" applyBorder="1" applyAlignment="1">
      <alignment horizontal="center"/>
    </xf>
    <xf numFmtId="0" fontId="7" fillId="2" borderId="32" xfId="1" applyNumberFormat="1" applyFont="1" applyFill="1" applyBorder="1" applyAlignment="1">
      <alignment horizontal="center"/>
    </xf>
    <xf numFmtId="9" fontId="7" fillId="2" borderId="32" xfId="6" applyFont="1" applyFill="1" applyBorder="1" applyAlignment="1">
      <alignment horizontal="center"/>
    </xf>
    <xf numFmtId="0" fontId="7" fillId="2" borderId="32" xfId="1" applyNumberFormat="1" applyFont="1" applyFill="1" applyBorder="1" applyAlignment="1">
      <alignment horizontal="center" wrapText="1"/>
    </xf>
    <xf numFmtId="0" fontId="7" fillId="2" borderId="33" xfId="0" applyFont="1" applyFill="1" applyBorder="1" applyAlignment="1">
      <alignment horizontal="left" wrapText="1"/>
    </xf>
    <xf numFmtId="164" fontId="6" fillId="3" borderId="12" xfId="0" applyNumberFormat="1" applyFont="1" applyFill="1" applyBorder="1" applyAlignment="1">
      <alignment horizontal="center" vertical="center" wrapText="1"/>
    </xf>
    <xf numFmtId="164" fontId="6" fillId="3" borderId="14" xfId="0" applyNumberFormat="1"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8" fillId="0" borderId="1" xfId="0" applyFont="1" applyBorder="1" applyAlignment="1">
      <alignment horizontal="left"/>
    </xf>
    <xf numFmtId="0" fontId="8" fillId="0" borderId="11" xfId="0" applyFont="1" applyBorder="1" applyAlignment="1">
      <alignment horizontal="left"/>
    </xf>
    <xf numFmtId="0" fontId="8" fillId="0" borderId="2" xfId="0" applyFont="1" applyBorder="1" applyAlignment="1">
      <alignment horizontal="left"/>
    </xf>
    <xf numFmtId="0" fontId="6" fillId="2" borderId="1" xfId="1" applyNumberFormat="1" applyFont="1" applyFill="1" applyBorder="1" applyAlignment="1">
      <alignment horizontal="center"/>
    </xf>
    <xf numFmtId="0" fontId="6" fillId="2" borderId="2" xfId="1" applyNumberFormat="1" applyFont="1" applyFill="1" applyBorder="1" applyAlignment="1">
      <alignment horizontal="center"/>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7" fillId="2" borderId="7" xfId="1" applyNumberFormat="1" applyFont="1" applyFill="1" applyBorder="1" applyAlignment="1">
      <alignment horizontal="center"/>
    </xf>
    <xf numFmtId="0" fontId="7" fillId="2" borderId="9" xfId="1" applyNumberFormat="1" applyFont="1" applyFill="1" applyBorder="1" applyAlignment="1">
      <alignment horizontal="center"/>
    </xf>
    <xf numFmtId="0" fontId="6" fillId="2" borderId="7" xfId="1" applyNumberFormat="1" applyFont="1" applyFill="1" applyBorder="1" applyAlignment="1">
      <alignment horizontal="center"/>
    </xf>
    <xf numFmtId="0" fontId="6" fillId="2" borderId="9" xfId="1" applyNumberFormat="1" applyFont="1" applyFill="1" applyBorder="1" applyAlignment="1">
      <alignment horizont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0" borderId="0" xfId="0" applyFont="1" applyAlignment="1">
      <alignment horizontal="center"/>
    </xf>
    <xf numFmtId="0" fontId="6" fillId="0" borderId="3"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6" fillId="0" borderId="0" xfId="0" applyFont="1" applyAlignment="1">
      <alignment horizontal="left"/>
    </xf>
    <xf numFmtId="0" fontId="6" fillId="0" borderId="6" xfId="0" applyFont="1" applyBorder="1" applyAlignment="1">
      <alignment horizontal="left"/>
    </xf>
    <xf numFmtId="0" fontId="6" fillId="0" borderId="1" xfId="0" applyFont="1" applyBorder="1" applyAlignment="1">
      <alignment horizontal="left"/>
    </xf>
    <xf numFmtId="0" fontId="6" fillId="0" borderId="11" xfId="0" applyFont="1" applyBorder="1" applyAlignment="1">
      <alignment horizontal="left"/>
    </xf>
    <xf numFmtId="0" fontId="6" fillId="0" borderId="2" xfId="0" applyFont="1" applyBorder="1" applyAlignment="1">
      <alignment horizontal="left"/>
    </xf>
    <xf numFmtId="0" fontId="6" fillId="3" borderId="3"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2" xfId="0" applyFont="1" applyFill="1" applyBorder="1" applyAlignment="1">
      <alignment horizontal="center" vertical="center" wrapText="1"/>
    </xf>
    <xf numFmtId="44" fontId="6" fillId="0" borderId="12" xfId="0" applyNumberFormat="1" applyFont="1" applyBorder="1" applyAlignment="1">
      <alignment horizontal="center" vertical="center"/>
    </xf>
    <xf numFmtId="44" fontId="6" fillId="0" borderId="13" xfId="0" applyNumberFormat="1" applyFont="1" applyBorder="1" applyAlignment="1">
      <alignment horizontal="center" vertical="center"/>
    </xf>
    <xf numFmtId="0" fontId="6" fillId="3" borderId="3"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 xfId="0" applyFont="1" applyFill="1" applyBorder="1" applyAlignment="1">
      <alignment horizontal="center" vertical="center"/>
    </xf>
    <xf numFmtId="0" fontId="6" fillId="0" borderId="13" xfId="0" applyFont="1" applyBorder="1" applyAlignment="1">
      <alignment horizontal="center" vertical="center"/>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cellXfs>
  <cellStyles count="7">
    <cellStyle name="Currency" xfId="1" builtinId="4"/>
    <cellStyle name="Followed Hyperlink" xfId="3" builtinId="9" hidden="1"/>
    <cellStyle name="Followed Hyperlink" xfId="5" builtinId="9" hidden="1"/>
    <cellStyle name="Hyperlink" xfId="2" builtinId="8" hidden="1"/>
    <cellStyle name="Hyperlink" xfId="4" builtinId="8" hidden="1"/>
    <cellStyle name="Normal" xfId="0" builtinId="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65"/>
  <sheetViews>
    <sheetView tabSelected="1" topLeftCell="A34" zoomScale="80" zoomScaleNormal="80" zoomScalePageLayoutView="90" workbookViewId="0">
      <selection activeCell="I61" sqref="I61"/>
    </sheetView>
  </sheetViews>
  <sheetFormatPr baseColWidth="10" defaultColWidth="8.83203125" defaultRowHeight="16" x14ac:dyDescent="0.2"/>
  <cols>
    <col min="1" max="1" width="5.6640625" style="3" customWidth="1"/>
    <col min="2" max="2" width="20.6640625" style="3" customWidth="1"/>
    <col min="3" max="3" width="5.6640625" style="4" customWidth="1"/>
    <col min="4" max="5" width="17.6640625" style="4" customWidth="1"/>
    <col min="6" max="6" width="5.6640625" style="4" customWidth="1"/>
    <col min="7" max="8" width="17.6640625" style="4" customWidth="1"/>
    <col min="9" max="10" width="9.6640625" style="4" customWidth="1"/>
    <col min="11" max="13" width="17.6640625" style="4" customWidth="1"/>
    <col min="14" max="14" width="13.6640625" style="4" customWidth="1"/>
    <col min="15" max="15" width="47.6640625" style="8" customWidth="1"/>
    <col min="16" max="17" width="8.83203125" style="3"/>
    <col min="18" max="18" width="14.1640625" style="3" bestFit="1" customWidth="1"/>
    <col min="19" max="16384" width="8.83203125" style="3"/>
  </cols>
  <sheetData>
    <row r="1" spans="1:18" ht="15.75" customHeight="1" x14ac:dyDescent="0.2">
      <c r="A1" s="109" t="s">
        <v>20</v>
      </c>
      <c r="B1" s="110"/>
      <c r="C1" s="110"/>
      <c r="D1" s="110"/>
      <c r="E1" s="111"/>
      <c r="F1" s="1"/>
      <c r="G1"/>
      <c r="H1"/>
      <c r="I1"/>
      <c r="J1" s="1"/>
      <c r="K1" s="1"/>
      <c r="L1" s="1"/>
      <c r="M1" s="1"/>
      <c r="N1" s="1"/>
      <c r="O1" s="2"/>
      <c r="P1" s="2"/>
    </row>
    <row r="2" spans="1:18" ht="15.75" customHeight="1" x14ac:dyDescent="0.2">
      <c r="A2" s="112" t="s">
        <v>21</v>
      </c>
      <c r="B2" s="113"/>
      <c r="C2" s="113"/>
      <c r="D2" s="113"/>
      <c r="E2" s="114"/>
      <c r="F2" s="1"/>
      <c r="G2"/>
      <c r="H2"/>
      <c r="I2"/>
      <c r="J2" s="1"/>
      <c r="K2" s="1"/>
      <c r="M2" s="1"/>
      <c r="N2" s="1"/>
      <c r="O2" s="2"/>
      <c r="P2" s="2"/>
    </row>
    <row r="3" spans="1:18" ht="15.75" customHeight="1" x14ac:dyDescent="0.2">
      <c r="A3" s="112" t="s">
        <v>22</v>
      </c>
      <c r="B3" s="113"/>
      <c r="C3" s="113"/>
      <c r="D3" s="113"/>
      <c r="E3" s="114"/>
      <c r="F3" s="1"/>
      <c r="G3"/>
      <c r="H3"/>
      <c r="I3"/>
      <c r="J3" s="1"/>
      <c r="K3" s="1"/>
      <c r="L3"/>
      <c r="M3" s="1"/>
      <c r="N3" s="1"/>
      <c r="O3" s="5"/>
      <c r="P3" s="5"/>
    </row>
    <row r="4" spans="1:18" ht="15.75" customHeight="1" x14ac:dyDescent="0.2">
      <c r="A4" s="112" t="s">
        <v>23</v>
      </c>
      <c r="B4" s="113"/>
      <c r="C4" s="113"/>
      <c r="D4" s="113"/>
      <c r="E4" s="114"/>
      <c r="F4" s="6"/>
      <c r="G4"/>
      <c r="H4"/>
      <c r="I4"/>
      <c r="J4" s="7"/>
      <c r="K4" s="7"/>
      <c r="L4" s="1"/>
      <c r="O4" s="3"/>
    </row>
    <row r="5" spans="1:18" ht="15.75" customHeight="1" thickBot="1" x14ac:dyDescent="0.25">
      <c r="A5" s="115" t="s">
        <v>24</v>
      </c>
      <c r="B5" s="116"/>
      <c r="C5" s="116"/>
      <c r="D5" s="116"/>
      <c r="E5" s="117"/>
      <c r="F5" s="1"/>
      <c r="G5"/>
      <c r="H5"/>
      <c r="I5"/>
      <c r="J5" s="1"/>
      <c r="K5" s="1"/>
      <c r="L5" s="1"/>
      <c r="O5" s="3"/>
    </row>
    <row r="6" spans="1:18" x14ac:dyDescent="0.2">
      <c r="G6"/>
      <c r="H6"/>
      <c r="I6"/>
    </row>
    <row r="7" spans="1:18" ht="17" thickBot="1" x14ac:dyDescent="0.25"/>
    <row r="8" spans="1:18" s="9" customFormat="1" ht="25.5" customHeight="1" x14ac:dyDescent="0.15">
      <c r="A8" s="100" t="s">
        <v>25</v>
      </c>
      <c r="B8" s="101"/>
      <c r="C8" s="101"/>
      <c r="D8" s="101"/>
      <c r="E8" s="101"/>
      <c r="F8" s="101"/>
      <c r="G8" s="101"/>
      <c r="H8" s="101"/>
      <c r="I8" s="101"/>
      <c r="J8" s="101"/>
      <c r="K8" s="101"/>
      <c r="L8" s="101"/>
      <c r="M8" s="101"/>
      <c r="N8" s="101"/>
      <c r="O8" s="102"/>
    </row>
    <row r="9" spans="1:18" ht="24" customHeight="1" x14ac:dyDescent="0.2">
      <c r="A9" s="86" t="s">
        <v>0</v>
      </c>
      <c r="B9" s="103" t="s">
        <v>1</v>
      </c>
      <c r="C9" s="105" t="s">
        <v>2</v>
      </c>
      <c r="D9" s="106"/>
      <c r="E9" s="107"/>
      <c r="F9" s="105" t="s">
        <v>3</v>
      </c>
      <c r="G9" s="106"/>
      <c r="H9" s="107"/>
      <c r="I9" s="84" t="s">
        <v>4</v>
      </c>
      <c r="J9" s="84" t="s">
        <v>5</v>
      </c>
      <c r="K9" s="84" t="s">
        <v>6</v>
      </c>
      <c r="L9" s="84" t="s">
        <v>7</v>
      </c>
      <c r="M9" s="84" t="s">
        <v>8</v>
      </c>
      <c r="N9" s="84" t="s">
        <v>9</v>
      </c>
      <c r="O9" s="86" t="s">
        <v>10</v>
      </c>
    </row>
    <row r="10" spans="1:18" s="4" customFormat="1" ht="24" customHeight="1" thickBot="1" x14ac:dyDescent="0.25">
      <c r="A10" s="87"/>
      <c r="B10" s="104"/>
      <c r="C10" s="11" t="s">
        <v>11</v>
      </c>
      <c r="D10" s="10" t="s">
        <v>12</v>
      </c>
      <c r="E10" s="12" t="s">
        <v>13</v>
      </c>
      <c r="F10" s="12" t="s">
        <v>11</v>
      </c>
      <c r="G10" s="12" t="s">
        <v>12</v>
      </c>
      <c r="H10" s="12" t="s">
        <v>13</v>
      </c>
      <c r="I10" s="85"/>
      <c r="J10" s="85"/>
      <c r="K10" s="85"/>
      <c r="L10" s="85"/>
      <c r="M10" s="85"/>
      <c r="N10" s="85"/>
      <c r="O10" s="87"/>
    </row>
    <row r="11" spans="1:18" s="4" customFormat="1" ht="187" customHeight="1" x14ac:dyDescent="0.2">
      <c r="A11" s="64">
        <v>1</v>
      </c>
      <c r="B11" s="65" t="s">
        <v>26</v>
      </c>
      <c r="C11" s="66">
        <v>1</v>
      </c>
      <c r="D11" s="67">
        <v>52479.59</v>
      </c>
      <c r="E11" s="67">
        <f>C11*D11</f>
        <v>52479.59</v>
      </c>
      <c r="F11" s="66">
        <v>0</v>
      </c>
      <c r="G11" s="67">
        <v>0</v>
      </c>
      <c r="H11" s="67">
        <f>F11*G11</f>
        <v>0</v>
      </c>
      <c r="I11" s="68" t="s">
        <v>40</v>
      </c>
      <c r="J11" s="68" t="s">
        <v>40</v>
      </c>
      <c r="K11" s="67">
        <f>H11*(1-L11)</f>
        <v>0</v>
      </c>
      <c r="L11" s="69">
        <v>0</v>
      </c>
      <c r="M11" s="67">
        <f>H11-K11</f>
        <v>0</v>
      </c>
      <c r="N11" s="70" t="s">
        <v>40</v>
      </c>
      <c r="O11" s="71" t="s">
        <v>63</v>
      </c>
      <c r="R11" s="33"/>
    </row>
    <row r="12" spans="1:18" s="4" customFormat="1" ht="65" customHeight="1" x14ac:dyDescent="0.2">
      <c r="A12" s="72">
        <v>2</v>
      </c>
      <c r="B12" s="60" t="s">
        <v>44</v>
      </c>
      <c r="C12" s="54">
        <v>0</v>
      </c>
      <c r="D12" s="61">
        <v>0</v>
      </c>
      <c r="E12" s="61">
        <f t="shared" ref="E12:E19" si="0">C12*D12</f>
        <v>0</v>
      </c>
      <c r="F12" s="54">
        <v>16</v>
      </c>
      <c r="G12" s="61">
        <v>200</v>
      </c>
      <c r="H12" s="61">
        <f t="shared" ref="H12" si="1">F12*G12</f>
        <v>3200</v>
      </c>
      <c r="I12" s="62" t="s">
        <v>40</v>
      </c>
      <c r="J12" s="62" t="s">
        <v>40</v>
      </c>
      <c r="K12" s="56">
        <f t="shared" ref="K12:K19" si="2">H12*(1-L12)</f>
        <v>3200</v>
      </c>
      <c r="L12" s="58">
        <v>0</v>
      </c>
      <c r="M12" s="56">
        <f t="shared" ref="M12:M19" si="3">H12-K12</f>
        <v>0</v>
      </c>
      <c r="N12" s="63" t="s">
        <v>40</v>
      </c>
      <c r="O12" s="73" t="s">
        <v>51</v>
      </c>
    </row>
    <row r="13" spans="1:18" s="4" customFormat="1" ht="89" customHeight="1" x14ac:dyDescent="0.2">
      <c r="A13" s="74">
        <v>3</v>
      </c>
      <c r="B13" s="55" t="s">
        <v>45</v>
      </c>
      <c r="C13" s="54">
        <v>0</v>
      </c>
      <c r="D13" s="56">
        <v>0</v>
      </c>
      <c r="E13" s="56">
        <f t="shared" si="0"/>
        <v>0</v>
      </c>
      <c r="F13" s="54">
        <v>16</v>
      </c>
      <c r="G13" s="56">
        <v>200</v>
      </c>
      <c r="H13" s="56">
        <f>F13*G13</f>
        <v>3200</v>
      </c>
      <c r="I13" s="57" t="s">
        <v>40</v>
      </c>
      <c r="J13" s="57" t="s">
        <v>40</v>
      </c>
      <c r="K13" s="56">
        <f t="shared" si="2"/>
        <v>3200</v>
      </c>
      <c r="L13" s="58">
        <v>0</v>
      </c>
      <c r="M13" s="56">
        <f t="shared" si="3"/>
        <v>0</v>
      </c>
      <c r="N13" s="59" t="s">
        <v>40</v>
      </c>
      <c r="O13" s="75" t="s">
        <v>50</v>
      </c>
    </row>
    <row r="14" spans="1:18" s="4" customFormat="1" ht="65" customHeight="1" x14ac:dyDescent="0.2">
      <c r="A14" s="72">
        <v>4</v>
      </c>
      <c r="B14" s="60" t="s">
        <v>46</v>
      </c>
      <c r="C14" s="54">
        <v>0</v>
      </c>
      <c r="D14" s="61">
        <v>0</v>
      </c>
      <c r="E14" s="61">
        <f t="shared" si="0"/>
        <v>0</v>
      </c>
      <c r="F14" s="54">
        <v>1</v>
      </c>
      <c r="G14" s="61">
        <v>30000</v>
      </c>
      <c r="H14" s="61">
        <f t="shared" ref="H14" si="4">F14*G14</f>
        <v>30000</v>
      </c>
      <c r="I14" s="62">
        <v>20</v>
      </c>
      <c r="J14" s="62">
        <v>20</v>
      </c>
      <c r="K14" s="56">
        <f t="shared" si="2"/>
        <v>7500</v>
      </c>
      <c r="L14" s="58">
        <f t="shared" ref="L14:L15" si="5">IF((I14/J14)&gt;=0.75,0.75,IF((I14/J14)&gt;=0.1,(I14/J14),IF((I14/J14)&lt;=0.1,0.1)))</f>
        <v>0.75</v>
      </c>
      <c r="M14" s="56">
        <f t="shared" si="3"/>
        <v>22500</v>
      </c>
      <c r="N14" s="63" t="s">
        <v>60</v>
      </c>
      <c r="O14" s="73" t="s">
        <v>49</v>
      </c>
    </row>
    <row r="15" spans="1:18" s="4" customFormat="1" ht="93" customHeight="1" x14ac:dyDescent="0.2">
      <c r="A15" s="72">
        <v>5</v>
      </c>
      <c r="B15" s="60" t="s">
        <v>48</v>
      </c>
      <c r="C15" s="54">
        <v>0</v>
      </c>
      <c r="D15" s="61">
        <v>0</v>
      </c>
      <c r="E15" s="61">
        <f t="shared" si="0"/>
        <v>0</v>
      </c>
      <c r="F15" s="54">
        <v>1</v>
      </c>
      <c r="G15" s="61">
        <v>9500</v>
      </c>
      <c r="H15" s="61">
        <f t="shared" ref="H15:H16" si="6">F15*G15</f>
        <v>9500</v>
      </c>
      <c r="I15" s="62">
        <v>20</v>
      </c>
      <c r="J15" s="62">
        <v>20</v>
      </c>
      <c r="K15" s="56">
        <f t="shared" si="2"/>
        <v>2375</v>
      </c>
      <c r="L15" s="58">
        <f t="shared" si="5"/>
        <v>0.75</v>
      </c>
      <c r="M15" s="56">
        <f t="shared" si="3"/>
        <v>7125</v>
      </c>
      <c r="N15" s="63" t="s">
        <v>60</v>
      </c>
      <c r="O15" s="73" t="s">
        <v>55</v>
      </c>
      <c r="R15" s="33"/>
    </row>
    <row r="16" spans="1:18" s="4" customFormat="1" ht="79" customHeight="1" x14ac:dyDescent="0.2">
      <c r="A16" s="72">
        <v>6</v>
      </c>
      <c r="B16" s="60" t="s">
        <v>56</v>
      </c>
      <c r="C16" s="54">
        <v>0</v>
      </c>
      <c r="D16" s="61">
        <v>0</v>
      </c>
      <c r="E16" s="61">
        <f t="shared" ref="E16:E17" si="7">C16*D16</f>
        <v>0</v>
      </c>
      <c r="F16" s="54">
        <v>1</v>
      </c>
      <c r="G16" s="61">
        <v>1329.59</v>
      </c>
      <c r="H16" s="61">
        <f t="shared" si="6"/>
        <v>1329.59</v>
      </c>
      <c r="I16" s="62">
        <v>20</v>
      </c>
      <c r="J16" s="62">
        <v>20</v>
      </c>
      <c r="K16" s="56">
        <f t="shared" ref="K16:K17" si="8">H16*(1-L16)</f>
        <v>332.39749999999998</v>
      </c>
      <c r="L16" s="58">
        <f t="shared" ref="L16" si="9">IF((I16/J16)&gt;=0.75,0.75,IF((I16/J16)&gt;=0.1,(I16/J16),IF((I16/J16)&lt;=0.1,0.1)))</f>
        <v>0.75</v>
      </c>
      <c r="M16" s="56">
        <f t="shared" ref="M16:M17" si="10">H16-K16</f>
        <v>997.19249999999988</v>
      </c>
      <c r="N16" s="63" t="s">
        <v>60</v>
      </c>
      <c r="O16" s="73" t="s">
        <v>58</v>
      </c>
    </row>
    <row r="17" spans="1:15" s="4" customFormat="1" ht="65" customHeight="1" x14ac:dyDescent="0.2">
      <c r="A17" s="74">
        <v>7</v>
      </c>
      <c r="B17" s="55" t="s">
        <v>47</v>
      </c>
      <c r="C17" s="54">
        <v>0</v>
      </c>
      <c r="D17" s="56">
        <v>0</v>
      </c>
      <c r="E17" s="56">
        <f t="shared" si="7"/>
        <v>0</v>
      </c>
      <c r="F17" s="54">
        <v>1</v>
      </c>
      <c r="G17" s="56">
        <v>2000</v>
      </c>
      <c r="H17" s="56">
        <f>F17*G17</f>
        <v>2000</v>
      </c>
      <c r="I17" s="57" t="s">
        <v>40</v>
      </c>
      <c r="J17" s="57" t="s">
        <v>40</v>
      </c>
      <c r="K17" s="56">
        <f t="shared" si="8"/>
        <v>2000</v>
      </c>
      <c r="L17" s="58">
        <v>0</v>
      </c>
      <c r="M17" s="56">
        <f t="shared" si="10"/>
        <v>0</v>
      </c>
      <c r="N17" s="59" t="s">
        <v>40</v>
      </c>
      <c r="O17" s="75" t="s">
        <v>52</v>
      </c>
    </row>
    <row r="18" spans="1:15" s="4" customFormat="1" ht="65" customHeight="1" x14ac:dyDescent="0.2">
      <c r="A18" s="74">
        <v>8</v>
      </c>
      <c r="B18" s="55" t="s">
        <v>53</v>
      </c>
      <c r="C18" s="54">
        <v>0</v>
      </c>
      <c r="D18" s="56">
        <v>0</v>
      </c>
      <c r="E18" s="56">
        <f t="shared" si="0"/>
        <v>0</v>
      </c>
      <c r="F18" s="54">
        <v>1</v>
      </c>
      <c r="G18" s="56">
        <v>2750</v>
      </c>
      <c r="H18" s="56">
        <f>F18*G18</f>
        <v>2750</v>
      </c>
      <c r="I18" s="57" t="s">
        <v>40</v>
      </c>
      <c r="J18" s="57" t="s">
        <v>40</v>
      </c>
      <c r="K18" s="56">
        <f t="shared" si="2"/>
        <v>2750</v>
      </c>
      <c r="L18" s="58">
        <v>0</v>
      </c>
      <c r="M18" s="56">
        <f t="shared" si="3"/>
        <v>0</v>
      </c>
      <c r="N18" s="59" t="s">
        <v>40</v>
      </c>
      <c r="O18" s="75" t="s">
        <v>54</v>
      </c>
    </row>
    <row r="19" spans="1:15" s="4" customFormat="1" ht="65" customHeight="1" thickBot="1" x14ac:dyDescent="0.25">
      <c r="A19" s="76">
        <v>9</v>
      </c>
      <c r="B19" s="77" t="s">
        <v>57</v>
      </c>
      <c r="C19" s="78">
        <v>0</v>
      </c>
      <c r="D19" s="79">
        <v>0</v>
      </c>
      <c r="E19" s="79">
        <f t="shared" si="0"/>
        <v>0</v>
      </c>
      <c r="F19" s="78">
        <v>1</v>
      </c>
      <c r="G19" s="79">
        <v>500</v>
      </c>
      <c r="H19" s="79">
        <f>F19*G19</f>
        <v>500</v>
      </c>
      <c r="I19" s="80" t="s">
        <v>40</v>
      </c>
      <c r="J19" s="80" t="s">
        <v>40</v>
      </c>
      <c r="K19" s="79">
        <f t="shared" si="2"/>
        <v>500</v>
      </c>
      <c r="L19" s="81">
        <v>0</v>
      </c>
      <c r="M19" s="79">
        <f t="shared" si="3"/>
        <v>0</v>
      </c>
      <c r="N19" s="82" t="s">
        <v>40</v>
      </c>
      <c r="O19" s="83" t="s">
        <v>59</v>
      </c>
    </row>
    <row r="20" spans="1:15" s="4" customFormat="1" ht="18" customHeight="1" thickBot="1" x14ac:dyDescent="0.25">
      <c r="A20" s="88" t="s">
        <v>14</v>
      </c>
      <c r="B20" s="89"/>
      <c r="C20" s="89"/>
      <c r="D20" s="90"/>
      <c r="E20" s="19">
        <f>SUM(E11:E19)</f>
        <v>52479.59</v>
      </c>
      <c r="F20" s="20"/>
      <c r="G20" s="21"/>
      <c r="H20" s="22">
        <f>SUM(H11:H19)</f>
        <v>52479.59</v>
      </c>
      <c r="I20" s="91"/>
      <c r="J20" s="92"/>
      <c r="K20" s="23">
        <f>SUM(K11:K19)</f>
        <v>21857.397499999999</v>
      </c>
      <c r="L20" s="23"/>
      <c r="M20" s="23">
        <f>SUM(M11:M19)</f>
        <v>30622.192500000001</v>
      </c>
      <c r="N20"/>
    </row>
    <row r="21" spans="1:15" s="4" customFormat="1" ht="18" customHeight="1" x14ac:dyDescent="0.2">
      <c r="A21" s="93" t="s">
        <v>27</v>
      </c>
      <c r="B21" s="94"/>
      <c r="C21" s="94"/>
      <c r="D21" s="95"/>
      <c r="E21" s="24">
        <v>3279.97</v>
      </c>
      <c r="F21" s="25"/>
      <c r="G21" s="26"/>
      <c r="H21" s="24">
        <v>3279.97</v>
      </c>
      <c r="I21" s="96"/>
      <c r="J21" s="97"/>
      <c r="K21" s="27">
        <f>0.062499917*K20</f>
        <v>1366.0855295860074</v>
      </c>
      <c r="L21" s="27"/>
      <c r="M21" s="27">
        <f>H21-K21</f>
        <v>1913.8844704139924</v>
      </c>
      <c r="N21"/>
      <c r="O21" s="33"/>
    </row>
    <row r="22" spans="1:15" s="4" customFormat="1" ht="18" customHeight="1" x14ac:dyDescent="0.2">
      <c r="A22" s="93" t="s">
        <v>13</v>
      </c>
      <c r="B22" s="94"/>
      <c r="C22" s="94"/>
      <c r="D22" s="95"/>
      <c r="E22" s="28">
        <f>SUM(E20:E21)</f>
        <v>55759.56</v>
      </c>
      <c r="F22" s="29"/>
      <c r="G22" s="30"/>
      <c r="H22" s="28">
        <f>SUM(H20,H21)</f>
        <v>55759.56</v>
      </c>
      <c r="I22" s="98"/>
      <c r="J22" s="99"/>
      <c r="K22" s="31">
        <f>SUM(K20:K21)</f>
        <v>23223.483029586008</v>
      </c>
      <c r="L22" s="31"/>
      <c r="M22" s="31">
        <f>SUM(M20:M21)</f>
        <v>32536.076970413993</v>
      </c>
      <c r="N22"/>
    </row>
    <row r="23" spans="1:15" ht="15" customHeight="1" x14ac:dyDescent="0.2">
      <c r="A23" s="2"/>
      <c r="B23" s="2"/>
      <c r="C23" s="1"/>
      <c r="D23" s="1"/>
      <c r="E23" s="1"/>
      <c r="F23" s="1"/>
      <c r="G23" s="1"/>
      <c r="H23" s="1"/>
      <c r="I23" s="1"/>
      <c r="J23" s="1"/>
      <c r="K23" s="1"/>
      <c r="L23" s="1"/>
      <c r="M23" s="1"/>
      <c r="N23"/>
      <c r="O23" s="2"/>
    </row>
    <row r="24" spans="1:15" ht="12.75" customHeight="1" x14ac:dyDescent="0.2">
      <c r="A24" s="7"/>
      <c r="B24" s="7"/>
      <c r="C24" s="7"/>
      <c r="D24" s="7"/>
      <c r="E24" s="7"/>
      <c r="F24" s="7"/>
      <c r="G24" s="7"/>
      <c r="H24" s="7"/>
      <c r="I24" s="7"/>
      <c r="J24" s="7"/>
      <c r="K24" s="7"/>
      <c r="L24" s="7"/>
      <c r="M24" s="7"/>
      <c r="N24" s="7"/>
      <c r="O24" s="32"/>
    </row>
    <row r="25" spans="1:15" s="9" customFormat="1" ht="25.5" customHeight="1" x14ac:dyDescent="0.15">
      <c r="A25" s="100" t="s">
        <v>28</v>
      </c>
      <c r="B25" s="101"/>
      <c r="C25" s="101"/>
      <c r="D25" s="101"/>
      <c r="E25" s="101"/>
      <c r="F25" s="101"/>
      <c r="G25" s="101"/>
      <c r="H25" s="101"/>
      <c r="I25" s="101"/>
      <c r="J25" s="101"/>
      <c r="K25" s="101"/>
      <c r="L25" s="101"/>
      <c r="M25" s="101"/>
      <c r="N25" s="101"/>
      <c r="O25" s="102"/>
    </row>
    <row r="26" spans="1:15" ht="24" customHeight="1" x14ac:dyDescent="0.2">
      <c r="A26" s="86" t="s">
        <v>0</v>
      </c>
      <c r="B26" s="103" t="s">
        <v>1</v>
      </c>
      <c r="C26" s="105" t="s">
        <v>2</v>
      </c>
      <c r="D26" s="106"/>
      <c r="E26" s="107"/>
      <c r="F26" s="105" t="s">
        <v>3</v>
      </c>
      <c r="G26" s="106"/>
      <c r="H26" s="107"/>
      <c r="I26" s="84" t="s">
        <v>4</v>
      </c>
      <c r="J26" s="84" t="s">
        <v>5</v>
      </c>
      <c r="K26" s="84" t="s">
        <v>6</v>
      </c>
      <c r="L26" s="84" t="s">
        <v>7</v>
      </c>
      <c r="M26" s="84" t="s">
        <v>8</v>
      </c>
      <c r="N26" s="84" t="s">
        <v>9</v>
      </c>
      <c r="O26" s="86" t="s">
        <v>10</v>
      </c>
    </row>
    <row r="27" spans="1:15" ht="24" customHeight="1" thickBot="1" x14ac:dyDescent="0.25">
      <c r="A27" s="87"/>
      <c r="B27" s="104"/>
      <c r="C27" s="11" t="s">
        <v>11</v>
      </c>
      <c r="D27" s="10" t="s">
        <v>12</v>
      </c>
      <c r="E27" s="12" t="s">
        <v>13</v>
      </c>
      <c r="F27" s="12" t="s">
        <v>11</v>
      </c>
      <c r="G27" s="12" t="s">
        <v>12</v>
      </c>
      <c r="H27" s="12" t="s">
        <v>13</v>
      </c>
      <c r="I27" s="85"/>
      <c r="J27" s="85"/>
      <c r="K27" s="85"/>
      <c r="L27" s="85"/>
      <c r="M27" s="85"/>
      <c r="N27" s="85"/>
      <c r="O27" s="87"/>
    </row>
    <row r="28" spans="1:15" ht="160" customHeight="1" x14ac:dyDescent="0.2">
      <c r="A28" s="34">
        <v>1</v>
      </c>
      <c r="B28" s="35" t="s">
        <v>29</v>
      </c>
      <c r="C28" s="36">
        <v>8</v>
      </c>
      <c r="D28" s="37">
        <v>185</v>
      </c>
      <c r="E28" s="37">
        <f t="shared" ref="E28:E29" si="11">C28*D28</f>
        <v>1480</v>
      </c>
      <c r="F28" s="36">
        <v>8</v>
      </c>
      <c r="G28" s="37">
        <v>185</v>
      </c>
      <c r="H28" s="37">
        <f>F28*G28</f>
        <v>1480</v>
      </c>
      <c r="I28" s="38" t="s">
        <v>40</v>
      </c>
      <c r="J28" s="38" t="s">
        <v>40</v>
      </c>
      <c r="K28" s="37">
        <f>H28*(1-L28)</f>
        <v>1480</v>
      </c>
      <c r="L28" s="39">
        <v>0</v>
      </c>
      <c r="M28" s="37">
        <f>H28-K28</f>
        <v>0</v>
      </c>
      <c r="N28" s="40" t="s">
        <v>40</v>
      </c>
      <c r="O28" s="41" t="s">
        <v>65</v>
      </c>
    </row>
    <row r="29" spans="1:15" ht="73" customHeight="1" x14ac:dyDescent="0.2">
      <c r="A29" s="44">
        <v>2</v>
      </c>
      <c r="B29" s="16" t="s">
        <v>30</v>
      </c>
      <c r="C29" s="13">
        <v>1</v>
      </c>
      <c r="D29" s="14">
        <v>600</v>
      </c>
      <c r="E29" s="14">
        <f t="shared" si="11"/>
        <v>600</v>
      </c>
      <c r="F29" s="13">
        <v>1</v>
      </c>
      <c r="G29" s="14">
        <v>600</v>
      </c>
      <c r="H29" s="14">
        <f t="shared" ref="H29" si="12">F29*G29</f>
        <v>600</v>
      </c>
      <c r="I29" s="17" t="s">
        <v>40</v>
      </c>
      <c r="J29" s="17" t="s">
        <v>40</v>
      </c>
      <c r="K29" s="14">
        <f t="shared" ref="K29:K34" si="13">H29*(1-L29)</f>
        <v>600</v>
      </c>
      <c r="L29" s="15">
        <v>0</v>
      </c>
      <c r="M29" s="14">
        <f t="shared" ref="M29:M34" si="14">H29-K29</f>
        <v>0</v>
      </c>
      <c r="N29" s="18" t="s">
        <v>40</v>
      </c>
      <c r="O29" s="43" t="s">
        <v>32</v>
      </c>
    </row>
    <row r="30" spans="1:15" ht="71" customHeight="1" x14ac:dyDescent="0.2">
      <c r="A30" s="44">
        <v>3</v>
      </c>
      <c r="B30" s="16" t="s">
        <v>31</v>
      </c>
      <c r="C30" s="13">
        <v>1</v>
      </c>
      <c r="D30" s="14">
        <v>2678</v>
      </c>
      <c r="E30" s="14">
        <f t="shared" ref="E30:E31" si="15">C30*D30</f>
        <v>2678</v>
      </c>
      <c r="F30" s="13">
        <v>1</v>
      </c>
      <c r="G30" s="14">
        <v>2678</v>
      </c>
      <c r="H30" s="14">
        <f t="shared" ref="H30:H31" si="16">F30*G30</f>
        <v>2678</v>
      </c>
      <c r="I30" s="17" t="s">
        <v>40</v>
      </c>
      <c r="J30" s="17" t="s">
        <v>40</v>
      </c>
      <c r="K30" s="14">
        <f t="shared" si="13"/>
        <v>2678</v>
      </c>
      <c r="L30" s="15">
        <v>0</v>
      </c>
      <c r="M30" s="14">
        <f t="shared" si="14"/>
        <v>0</v>
      </c>
      <c r="N30" s="18" t="s">
        <v>40</v>
      </c>
      <c r="O30" s="43" t="s">
        <v>33</v>
      </c>
    </row>
    <row r="31" spans="1:15" ht="65" customHeight="1" x14ac:dyDescent="0.2">
      <c r="A31" s="44">
        <v>4</v>
      </c>
      <c r="B31" s="16" t="s">
        <v>41</v>
      </c>
      <c r="C31" s="13">
        <v>1</v>
      </c>
      <c r="D31" s="14">
        <v>3300</v>
      </c>
      <c r="E31" s="14">
        <f t="shared" si="15"/>
        <v>3300</v>
      </c>
      <c r="F31" s="13">
        <v>1</v>
      </c>
      <c r="G31" s="14">
        <v>3300</v>
      </c>
      <c r="H31" s="14">
        <f t="shared" si="16"/>
        <v>3300</v>
      </c>
      <c r="I31" s="17" t="s">
        <v>40</v>
      </c>
      <c r="J31" s="17" t="s">
        <v>40</v>
      </c>
      <c r="K31" s="14">
        <f t="shared" si="13"/>
        <v>3300</v>
      </c>
      <c r="L31" s="15">
        <v>0</v>
      </c>
      <c r="M31" s="14">
        <f t="shared" si="14"/>
        <v>0</v>
      </c>
      <c r="N31" s="18" t="s">
        <v>40</v>
      </c>
      <c r="O31" s="43" t="s">
        <v>38</v>
      </c>
    </row>
    <row r="32" spans="1:15" ht="65" customHeight="1" x14ac:dyDescent="0.2">
      <c r="A32" s="44">
        <v>5</v>
      </c>
      <c r="B32" s="16" t="s">
        <v>34</v>
      </c>
      <c r="C32" s="13">
        <v>5</v>
      </c>
      <c r="D32" s="14">
        <v>180</v>
      </c>
      <c r="E32" s="14">
        <f t="shared" ref="E32:E34" si="17">C32*D32</f>
        <v>900</v>
      </c>
      <c r="F32" s="13">
        <v>5</v>
      </c>
      <c r="G32" s="14">
        <v>180</v>
      </c>
      <c r="H32" s="14">
        <f t="shared" ref="H32:H34" si="18">F32*G32</f>
        <v>900</v>
      </c>
      <c r="I32" s="17" t="s">
        <v>40</v>
      </c>
      <c r="J32" s="17" t="s">
        <v>40</v>
      </c>
      <c r="K32" s="14">
        <f t="shared" si="13"/>
        <v>900</v>
      </c>
      <c r="L32" s="15">
        <v>0</v>
      </c>
      <c r="M32" s="14">
        <f t="shared" si="14"/>
        <v>0</v>
      </c>
      <c r="N32" s="18" t="s">
        <v>40</v>
      </c>
      <c r="O32" s="43" t="s">
        <v>36</v>
      </c>
    </row>
    <row r="33" spans="1:18" ht="65" customHeight="1" x14ac:dyDescent="0.2">
      <c r="A33" s="44">
        <v>6</v>
      </c>
      <c r="B33" s="16" t="s">
        <v>35</v>
      </c>
      <c r="C33" s="13">
        <v>5</v>
      </c>
      <c r="D33" s="14">
        <v>45</v>
      </c>
      <c r="E33" s="14">
        <f t="shared" si="17"/>
        <v>225</v>
      </c>
      <c r="F33" s="13">
        <v>5</v>
      </c>
      <c r="G33" s="14">
        <v>45</v>
      </c>
      <c r="H33" s="14">
        <f t="shared" si="18"/>
        <v>225</v>
      </c>
      <c r="I33" s="17" t="s">
        <v>40</v>
      </c>
      <c r="J33" s="17" t="s">
        <v>40</v>
      </c>
      <c r="K33" s="14">
        <f t="shared" si="13"/>
        <v>225</v>
      </c>
      <c r="L33" s="15">
        <v>0</v>
      </c>
      <c r="M33" s="14">
        <f t="shared" si="14"/>
        <v>0</v>
      </c>
      <c r="N33" s="18" t="s">
        <v>40</v>
      </c>
      <c r="O33" s="43" t="s">
        <v>37</v>
      </c>
    </row>
    <row r="34" spans="1:18" ht="97" customHeight="1" thickBot="1" x14ac:dyDescent="0.25">
      <c r="A34" s="53">
        <v>7</v>
      </c>
      <c r="B34" s="46" t="s">
        <v>39</v>
      </c>
      <c r="C34" s="47">
        <v>1</v>
      </c>
      <c r="D34" s="48">
        <v>50</v>
      </c>
      <c r="E34" s="48">
        <f t="shared" si="17"/>
        <v>50</v>
      </c>
      <c r="F34" s="47">
        <v>1</v>
      </c>
      <c r="G34" s="48">
        <v>50</v>
      </c>
      <c r="H34" s="48">
        <f t="shared" si="18"/>
        <v>50</v>
      </c>
      <c r="I34" s="49" t="s">
        <v>40</v>
      </c>
      <c r="J34" s="49" t="s">
        <v>40</v>
      </c>
      <c r="K34" s="48">
        <f t="shared" si="13"/>
        <v>50</v>
      </c>
      <c r="L34" s="50">
        <v>0</v>
      </c>
      <c r="M34" s="48">
        <f t="shared" si="14"/>
        <v>0</v>
      </c>
      <c r="N34" s="51" t="s">
        <v>40</v>
      </c>
      <c r="O34" s="52" t="s">
        <v>62</v>
      </c>
    </row>
    <row r="35" spans="1:18" s="4" customFormat="1" ht="18" customHeight="1" thickBot="1" x14ac:dyDescent="0.25">
      <c r="A35" s="88" t="s">
        <v>14</v>
      </c>
      <c r="B35" s="89"/>
      <c r="C35" s="89"/>
      <c r="D35" s="90"/>
      <c r="E35" s="19">
        <f>SUM(E28:E34)</f>
        <v>9233</v>
      </c>
      <c r="F35" s="20"/>
      <c r="G35" s="21"/>
      <c r="H35" s="22">
        <f>SUM(H28:H34)</f>
        <v>9233</v>
      </c>
      <c r="I35" s="91"/>
      <c r="J35" s="92"/>
      <c r="K35" s="23">
        <f>SUM(K28:K34)</f>
        <v>9233</v>
      </c>
      <c r="L35" s="23"/>
      <c r="M35" s="23">
        <f>SUM(M28:M34)</f>
        <v>0</v>
      </c>
      <c r="N35"/>
    </row>
    <row r="36" spans="1:18" s="4" customFormat="1" ht="18" customHeight="1" x14ac:dyDescent="0.2">
      <c r="A36" s="93" t="s">
        <v>15</v>
      </c>
      <c r="B36" s="94"/>
      <c r="C36" s="94"/>
      <c r="D36" s="95"/>
      <c r="E36" s="24">
        <v>279.69</v>
      </c>
      <c r="F36" s="25"/>
      <c r="G36" s="26"/>
      <c r="H36" s="24">
        <f>0.0625*(H31+H32+H33+H34)</f>
        <v>279.6875</v>
      </c>
      <c r="I36" s="96"/>
      <c r="J36" s="97"/>
      <c r="K36" s="24">
        <f>0.0625*(K31+K32+K33+K34)</f>
        <v>279.6875</v>
      </c>
      <c r="L36" s="27"/>
      <c r="M36" s="27">
        <v>0</v>
      </c>
      <c r="N36"/>
    </row>
    <row r="37" spans="1:18" s="4" customFormat="1" ht="18" customHeight="1" thickBot="1" x14ac:dyDescent="0.25">
      <c r="A37" s="93" t="s">
        <v>13</v>
      </c>
      <c r="B37" s="94"/>
      <c r="C37" s="94"/>
      <c r="D37" s="95"/>
      <c r="E37" s="28">
        <f>SUM(E35:E36)</f>
        <v>9512.69</v>
      </c>
      <c r="F37" s="29"/>
      <c r="G37" s="30"/>
      <c r="H37" s="28">
        <f>SUM(H35,H36)</f>
        <v>9512.6875</v>
      </c>
      <c r="I37" s="98"/>
      <c r="J37" s="99"/>
      <c r="K37" s="31">
        <f>SUM(K35:K36)</f>
        <v>9512.6875</v>
      </c>
      <c r="L37" s="31"/>
      <c r="M37" s="31">
        <f>SUM(M35:M36)</f>
        <v>0</v>
      </c>
      <c r="N37"/>
    </row>
    <row r="38" spans="1:18" x14ac:dyDescent="0.2">
      <c r="G38" s="33"/>
    </row>
    <row r="39" spans="1:18" ht="17" thickBot="1" x14ac:dyDescent="0.25"/>
    <row r="40" spans="1:18" s="9" customFormat="1" ht="39" customHeight="1" thickBot="1" x14ac:dyDescent="0.2">
      <c r="A40" s="133" t="s">
        <v>64</v>
      </c>
      <c r="B40" s="134"/>
      <c r="C40" s="134"/>
      <c r="D40" s="134"/>
      <c r="E40" s="134"/>
      <c r="F40" s="134"/>
      <c r="G40" s="134"/>
      <c r="H40" s="134"/>
      <c r="I40" s="134"/>
      <c r="J40" s="134"/>
      <c r="K40" s="134"/>
      <c r="L40" s="134"/>
      <c r="M40" s="134"/>
      <c r="N40" s="134"/>
      <c r="O40" s="135"/>
    </row>
    <row r="41" spans="1:18" ht="24" customHeight="1" thickBot="1" x14ac:dyDescent="0.25">
      <c r="A41" s="86" t="s">
        <v>0</v>
      </c>
      <c r="B41" s="103" t="s">
        <v>1</v>
      </c>
      <c r="C41" s="105" t="s">
        <v>2</v>
      </c>
      <c r="D41" s="106"/>
      <c r="E41" s="107"/>
      <c r="F41" s="105" t="s">
        <v>3</v>
      </c>
      <c r="G41" s="106"/>
      <c r="H41" s="107"/>
      <c r="I41" s="84" t="s">
        <v>4</v>
      </c>
      <c r="J41" s="84" t="s">
        <v>5</v>
      </c>
      <c r="K41" s="84" t="s">
        <v>6</v>
      </c>
      <c r="L41" s="84" t="s">
        <v>7</v>
      </c>
      <c r="M41" s="84" t="s">
        <v>8</v>
      </c>
      <c r="N41" s="84" t="s">
        <v>9</v>
      </c>
      <c r="O41" s="86" t="s">
        <v>10</v>
      </c>
    </row>
    <row r="42" spans="1:18" s="4" customFormat="1" ht="24" customHeight="1" thickBot="1" x14ac:dyDescent="0.25">
      <c r="A42" s="87"/>
      <c r="B42" s="104"/>
      <c r="C42" s="11" t="s">
        <v>11</v>
      </c>
      <c r="D42" s="10" t="s">
        <v>12</v>
      </c>
      <c r="E42" s="12" t="s">
        <v>13</v>
      </c>
      <c r="F42" s="12" t="s">
        <v>11</v>
      </c>
      <c r="G42" s="12" t="s">
        <v>12</v>
      </c>
      <c r="H42" s="12" t="s">
        <v>13</v>
      </c>
      <c r="I42" s="85"/>
      <c r="J42" s="85"/>
      <c r="K42" s="85"/>
      <c r="L42" s="85"/>
      <c r="M42" s="85"/>
      <c r="N42" s="85"/>
      <c r="O42" s="87"/>
    </row>
    <row r="43" spans="1:18" s="4" customFormat="1" ht="104" customHeight="1" x14ac:dyDescent="0.2">
      <c r="A43" s="34">
        <v>1</v>
      </c>
      <c r="B43" s="35" t="s">
        <v>43</v>
      </c>
      <c r="C43" s="36">
        <v>0</v>
      </c>
      <c r="D43" s="37">
        <v>0</v>
      </c>
      <c r="E43" s="37">
        <f>C43*D43</f>
        <v>0</v>
      </c>
      <c r="F43" s="36">
        <v>0</v>
      </c>
      <c r="G43" s="37">
        <v>0</v>
      </c>
      <c r="H43" s="37">
        <f>F43*G43</f>
        <v>0</v>
      </c>
      <c r="I43" s="38" t="s">
        <v>40</v>
      </c>
      <c r="J43" s="38" t="s">
        <v>40</v>
      </c>
      <c r="K43" s="37">
        <f>H43*(1-L43)</f>
        <v>0</v>
      </c>
      <c r="L43" s="39">
        <v>0</v>
      </c>
      <c r="M43" s="37">
        <f>H43-K43</f>
        <v>0</v>
      </c>
      <c r="N43" s="40" t="s">
        <v>40</v>
      </c>
      <c r="O43" s="41" t="s">
        <v>42</v>
      </c>
      <c r="R43" s="33"/>
    </row>
    <row r="44" spans="1:18" s="4" customFormat="1" ht="65" customHeight="1" x14ac:dyDescent="0.2">
      <c r="A44" s="42">
        <v>2</v>
      </c>
      <c r="B44" s="16" t="s">
        <v>41</v>
      </c>
      <c r="C44" s="13">
        <v>1</v>
      </c>
      <c r="D44" s="14">
        <v>3300</v>
      </c>
      <c r="E44" s="14">
        <f t="shared" ref="E44:E46" si="19">C44*D44</f>
        <v>3300</v>
      </c>
      <c r="F44" s="13">
        <v>1</v>
      </c>
      <c r="G44" s="14">
        <v>3300</v>
      </c>
      <c r="H44" s="14">
        <f t="shared" ref="H44:H46" si="20">F44*G44</f>
        <v>3300</v>
      </c>
      <c r="I44" s="17" t="s">
        <v>40</v>
      </c>
      <c r="J44" s="17" t="s">
        <v>40</v>
      </c>
      <c r="K44" s="14">
        <f t="shared" ref="K44:K46" si="21">H44*(1-L44)</f>
        <v>3300</v>
      </c>
      <c r="L44" s="15">
        <v>0</v>
      </c>
      <c r="M44" s="14">
        <f t="shared" ref="M44:M46" si="22">H44-K44</f>
        <v>0</v>
      </c>
      <c r="N44" s="18" t="s">
        <v>40</v>
      </c>
      <c r="O44" s="43" t="s">
        <v>38</v>
      </c>
    </row>
    <row r="45" spans="1:18" s="4" customFormat="1" ht="73" customHeight="1" x14ac:dyDescent="0.2">
      <c r="A45" s="44">
        <v>3</v>
      </c>
      <c r="B45" s="16" t="s">
        <v>34</v>
      </c>
      <c r="C45" s="13">
        <v>5</v>
      </c>
      <c r="D45" s="14">
        <v>180</v>
      </c>
      <c r="E45" s="14">
        <f t="shared" si="19"/>
        <v>900</v>
      </c>
      <c r="F45" s="13">
        <v>5</v>
      </c>
      <c r="G45" s="14">
        <v>180</v>
      </c>
      <c r="H45" s="14">
        <f t="shared" si="20"/>
        <v>900</v>
      </c>
      <c r="I45" s="17" t="s">
        <v>40</v>
      </c>
      <c r="J45" s="17" t="s">
        <v>40</v>
      </c>
      <c r="K45" s="14">
        <f t="shared" si="21"/>
        <v>900</v>
      </c>
      <c r="L45" s="15">
        <v>0</v>
      </c>
      <c r="M45" s="14">
        <f t="shared" si="22"/>
        <v>0</v>
      </c>
      <c r="N45" s="18" t="s">
        <v>40</v>
      </c>
      <c r="O45" s="43" t="s">
        <v>36</v>
      </c>
    </row>
    <row r="46" spans="1:18" s="4" customFormat="1" ht="65" customHeight="1" thickBot="1" x14ac:dyDescent="0.25">
      <c r="A46" s="45">
        <v>4</v>
      </c>
      <c r="B46" s="46" t="s">
        <v>35</v>
      </c>
      <c r="C46" s="47">
        <v>5</v>
      </c>
      <c r="D46" s="48">
        <v>45</v>
      </c>
      <c r="E46" s="48">
        <f t="shared" si="19"/>
        <v>225</v>
      </c>
      <c r="F46" s="47">
        <v>5</v>
      </c>
      <c r="G46" s="48">
        <v>45</v>
      </c>
      <c r="H46" s="48">
        <f t="shared" si="20"/>
        <v>225</v>
      </c>
      <c r="I46" s="49" t="s">
        <v>40</v>
      </c>
      <c r="J46" s="49" t="s">
        <v>40</v>
      </c>
      <c r="K46" s="48">
        <f t="shared" si="21"/>
        <v>225</v>
      </c>
      <c r="L46" s="50">
        <v>0</v>
      </c>
      <c r="M46" s="48">
        <f t="shared" si="22"/>
        <v>0</v>
      </c>
      <c r="N46" s="51" t="s">
        <v>40</v>
      </c>
      <c r="O46" s="52" t="s">
        <v>37</v>
      </c>
    </row>
    <row r="47" spans="1:18" s="4" customFormat="1" ht="18" customHeight="1" thickBot="1" x14ac:dyDescent="0.25">
      <c r="A47" s="88" t="s">
        <v>14</v>
      </c>
      <c r="B47" s="89"/>
      <c r="C47" s="89"/>
      <c r="D47" s="90"/>
      <c r="E47" s="19">
        <f>SUM(E43:E46)</f>
        <v>4425</v>
      </c>
      <c r="F47" s="20"/>
      <c r="G47" s="21"/>
      <c r="H47" s="22">
        <f>SUM(H43:H46)</f>
        <v>4425</v>
      </c>
      <c r="I47" s="91"/>
      <c r="J47" s="92"/>
      <c r="K47" s="23">
        <f>SUM(K43:K46)</f>
        <v>4425</v>
      </c>
      <c r="L47" s="23"/>
      <c r="M47" s="23">
        <f>SUM(M43:M46)</f>
        <v>0</v>
      </c>
      <c r="N47"/>
    </row>
    <row r="48" spans="1:18" s="4" customFormat="1" ht="18" customHeight="1" thickBot="1" x14ac:dyDescent="0.25">
      <c r="A48" s="93" t="s">
        <v>15</v>
      </c>
      <c r="B48" s="94"/>
      <c r="C48" s="94"/>
      <c r="D48" s="95"/>
      <c r="E48" s="24">
        <v>279.69</v>
      </c>
      <c r="F48" s="25"/>
      <c r="G48" s="26"/>
      <c r="H48" s="24">
        <v>279.69</v>
      </c>
      <c r="I48" s="96"/>
      <c r="J48" s="97"/>
      <c r="K48" s="24">
        <v>279.69</v>
      </c>
      <c r="L48" s="27"/>
      <c r="M48" s="27">
        <v>0</v>
      </c>
      <c r="N48"/>
    </row>
    <row r="49" spans="1:14" s="4" customFormat="1" ht="18" customHeight="1" thickBot="1" x14ac:dyDescent="0.25">
      <c r="A49" s="93" t="s">
        <v>13</v>
      </c>
      <c r="B49" s="94"/>
      <c r="C49" s="94"/>
      <c r="D49" s="95"/>
      <c r="E49" s="28">
        <f>SUM(E47:E48)</f>
        <v>4704.6899999999996</v>
      </c>
      <c r="F49" s="29"/>
      <c r="G49" s="30"/>
      <c r="H49" s="28">
        <f>SUM(H47,H48)</f>
        <v>4704.6899999999996</v>
      </c>
      <c r="I49" s="98"/>
      <c r="J49" s="99"/>
      <c r="K49" s="31">
        <f>SUM(K47:K48)</f>
        <v>4704.6899999999996</v>
      </c>
      <c r="L49" s="31"/>
      <c r="M49" s="31">
        <f>SUM(M47:M48)</f>
        <v>0</v>
      </c>
      <c r="N49"/>
    </row>
    <row r="50" spans="1:14" ht="12.75" customHeight="1" x14ac:dyDescent="0.2">
      <c r="A50" s="108"/>
      <c r="B50" s="108"/>
      <c r="C50" s="1"/>
      <c r="D50" s="1"/>
      <c r="E50" s="1"/>
      <c r="F50" s="1"/>
      <c r="G50" s="1"/>
      <c r="H50" s="1"/>
      <c r="I50" s="1"/>
      <c r="J50" s="1"/>
      <c r="K50" s="1"/>
      <c r="L50" s="1"/>
      <c r="M50" s="1"/>
      <c r="N50" s="1"/>
    </row>
    <row r="52" spans="1:14" x14ac:dyDescent="0.2">
      <c r="B52" s="126" t="s">
        <v>16</v>
      </c>
      <c r="C52" s="127"/>
      <c r="D52" s="128"/>
      <c r="E52" s="124">
        <f>E37+E22</f>
        <v>65272.25</v>
      </c>
    </row>
    <row r="53" spans="1:14" x14ac:dyDescent="0.2">
      <c r="B53" s="129"/>
      <c r="C53" s="130"/>
      <c r="D53" s="131"/>
      <c r="E53" s="132"/>
    </row>
    <row r="55" spans="1:14" x14ac:dyDescent="0.2">
      <c r="B55" s="126" t="s">
        <v>17</v>
      </c>
      <c r="C55" s="127"/>
      <c r="D55" s="128"/>
      <c r="E55" s="124">
        <f>+H37+H22</f>
        <v>65272.247499999998</v>
      </c>
    </row>
    <row r="56" spans="1:14" x14ac:dyDescent="0.2">
      <c r="B56" s="129"/>
      <c r="C56" s="130"/>
      <c r="D56" s="131"/>
      <c r="E56" s="132"/>
    </row>
    <row r="58" spans="1:14" x14ac:dyDescent="0.2">
      <c r="B58" s="126" t="s">
        <v>18</v>
      </c>
      <c r="C58" s="127"/>
      <c r="D58" s="128"/>
      <c r="E58" s="124">
        <f>K37+K22</f>
        <v>32736.170529586008</v>
      </c>
    </row>
    <row r="59" spans="1:14" x14ac:dyDescent="0.2">
      <c r="B59" s="129"/>
      <c r="C59" s="130"/>
      <c r="D59" s="131"/>
      <c r="E59" s="132"/>
      <c r="I59" s="7"/>
      <c r="J59" s="7"/>
      <c r="K59" s="7"/>
      <c r="L59" s="7"/>
    </row>
    <row r="60" spans="1:14" ht="17" thickBot="1" x14ac:dyDescent="0.25">
      <c r="I60" s="7"/>
      <c r="J60" s="7"/>
      <c r="K60" s="7"/>
      <c r="L60" s="7"/>
    </row>
    <row r="61" spans="1:14" x14ac:dyDescent="0.2">
      <c r="B61" s="126" t="s">
        <v>19</v>
      </c>
      <c r="C61" s="127"/>
      <c r="D61" s="128"/>
      <c r="E61" s="124">
        <f>M37+M22</f>
        <v>32536.076970413993</v>
      </c>
    </row>
    <row r="62" spans="1:14" ht="17" thickBot="1" x14ac:dyDescent="0.25">
      <c r="B62" s="129"/>
      <c r="C62" s="130"/>
      <c r="D62" s="131"/>
      <c r="E62" s="125"/>
    </row>
    <row r="63" spans="1:14" ht="17" thickBot="1" x14ac:dyDescent="0.25"/>
    <row r="64" spans="1:14" x14ac:dyDescent="0.2">
      <c r="B64" s="118" t="s">
        <v>61</v>
      </c>
      <c r="C64" s="119"/>
      <c r="D64" s="120"/>
      <c r="E64" s="124">
        <f>H49</f>
        <v>4704.6899999999996</v>
      </c>
    </row>
    <row r="65" spans="2:5" ht="36" customHeight="1" thickBot="1" x14ac:dyDescent="0.25">
      <c r="B65" s="121"/>
      <c r="C65" s="122"/>
      <c r="D65" s="123"/>
      <c r="E65" s="125"/>
    </row>
  </sheetData>
  <mergeCells count="70">
    <mergeCell ref="B64:D65"/>
    <mergeCell ref="E64:E65"/>
    <mergeCell ref="B61:D62"/>
    <mergeCell ref="E61:E62"/>
    <mergeCell ref="B52:D53"/>
    <mergeCell ref="B55:D56"/>
    <mergeCell ref="B58:D59"/>
    <mergeCell ref="E58:E59"/>
    <mergeCell ref="E52:E53"/>
    <mergeCell ref="E55:E56"/>
    <mergeCell ref="A50:B50"/>
    <mergeCell ref="I37:J37"/>
    <mergeCell ref="A49:D49"/>
    <mergeCell ref="I49:J49"/>
    <mergeCell ref="A1:E1"/>
    <mergeCell ref="A2:E2"/>
    <mergeCell ref="A3:E3"/>
    <mergeCell ref="A4:E4"/>
    <mergeCell ref="A5:E5"/>
    <mergeCell ref="A36:D36"/>
    <mergeCell ref="A37:D37"/>
    <mergeCell ref="A40:O40"/>
    <mergeCell ref="A41:A42"/>
    <mergeCell ref="A8:O8"/>
    <mergeCell ref="C9:E9"/>
    <mergeCell ref="B9:B10"/>
    <mergeCell ref="B41:B42"/>
    <mergeCell ref="C41:E41"/>
    <mergeCell ref="F41:H41"/>
    <mergeCell ref="I36:J36"/>
    <mergeCell ref="N26:N27"/>
    <mergeCell ref="O26:O27"/>
    <mergeCell ref="A20:D20"/>
    <mergeCell ref="I20:J20"/>
    <mergeCell ref="L9:L10"/>
    <mergeCell ref="O9:O10"/>
    <mergeCell ref="I9:I10"/>
    <mergeCell ref="J9:J10"/>
    <mergeCell ref="K9:K10"/>
    <mergeCell ref="M9:M10"/>
    <mergeCell ref="N9:N10"/>
    <mergeCell ref="F9:H9"/>
    <mergeCell ref="A9:A10"/>
    <mergeCell ref="A21:D21"/>
    <mergeCell ref="I21:J21"/>
    <mergeCell ref="A22:D22"/>
    <mergeCell ref="I22:J22"/>
    <mergeCell ref="A35:D35"/>
    <mergeCell ref="I35:J35"/>
    <mergeCell ref="A25:O25"/>
    <mergeCell ref="A26:A27"/>
    <mergeCell ref="B26:B27"/>
    <mergeCell ref="C26:E26"/>
    <mergeCell ref="F26:H26"/>
    <mergeCell ref="I26:I27"/>
    <mergeCell ref="J26:J27"/>
    <mergeCell ref="K26:K27"/>
    <mergeCell ref="L26:L27"/>
    <mergeCell ref="M26:M27"/>
    <mergeCell ref="N41:N42"/>
    <mergeCell ref="O41:O42"/>
    <mergeCell ref="A47:D47"/>
    <mergeCell ref="I47:J47"/>
    <mergeCell ref="A48:D48"/>
    <mergeCell ref="I48:J48"/>
    <mergeCell ref="I41:I42"/>
    <mergeCell ref="J41:J42"/>
    <mergeCell ref="K41:K42"/>
    <mergeCell ref="L41:L42"/>
    <mergeCell ref="M41:M42"/>
  </mergeCells>
  <phoneticPr fontId="1" type="noConversion"/>
  <pageMargins left="0.25" right="0.25" top="0.75" bottom="0.75" header="0.3" footer="0.3"/>
  <pageSetup scale="50" fitToHeight="20" orientation="landscape" horizontalDpi="300" verticalDpi="1200" r:id="rId1"/>
  <headerFooter alignWithMargins="0">
    <oddFooter>&amp;C&amp;"Times New Roman,Regular"Page &amp;P of &amp;N
© 2022 by Loss Solutions Group, LLC. All rights reserved.</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sheetData/>
  <phoneticPr fontId="1" type="noConversion"/>
  <pageMargins left="0.75" right="0.75" top="1" bottom="1" header="0.5" footer="0.5"/>
  <pageSetup orientation="portrait" horizontalDpi="0" verticalDpi="0"/>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honeticPr fontId="1" type="noConversion"/>
  <pageMargins left="0.75" right="0.75" top="1" bottom="1" header="0.5" footer="0.5"/>
  <pageSetup orientation="portrait" horizontalDpi="0" verticalDpi="0"/>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Loss Solutions Group</dc:creator>
  <cp:keywords/>
  <dc:description/>
  <cp:lastModifiedBy>Emma Muhleman</cp:lastModifiedBy>
  <cp:revision/>
  <dcterms:created xsi:type="dcterms:W3CDTF">2007-08-27T01:37:34Z</dcterms:created>
  <dcterms:modified xsi:type="dcterms:W3CDTF">2025-09-21T21:14:26Z</dcterms:modified>
  <cp:category/>
  <cp:contentStatus/>
</cp:coreProperties>
</file>