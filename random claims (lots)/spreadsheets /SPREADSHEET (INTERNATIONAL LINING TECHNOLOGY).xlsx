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International Lining Technology/"/>
    </mc:Choice>
  </mc:AlternateContent>
  <xr:revisionPtr revIDLastSave="0" documentId="13_ncr:1_{B5562585-27EA-744C-8018-6301868F1089}" xr6:coauthVersionLast="47" xr6:coauthVersionMax="47" xr10:uidLastSave="{00000000-0000-0000-0000-000000000000}"/>
  <bookViews>
    <workbookView xWindow="5720" yWindow="1240" windowWidth="28540" windowHeight="184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6" i="1" l="1"/>
  <c r="E53" i="1"/>
  <c r="E50" i="1"/>
  <c r="E47" i="1"/>
  <c r="G41" i="1"/>
  <c r="D35" i="1"/>
  <c r="G33" i="1"/>
  <c r="D33" i="1"/>
  <c r="D26" i="1"/>
  <c r="D40" i="1" l="1"/>
  <c r="D41" i="1"/>
  <c r="L19" i="1"/>
  <c r="H19" i="1"/>
  <c r="E19" i="1"/>
  <c r="L18" i="1"/>
  <c r="H18" i="1"/>
  <c r="E18" i="1"/>
  <c r="L17" i="1"/>
  <c r="H17" i="1"/>
  <c r="E17" i="1"/>
  <c r="L16" i="1"/>
  <c r="K16" i="1" s="1"/>
  <c r="M16" i="1" s="1"/>
  <c r="H16" i="1"/>
  <c r="E16" i="1"/>
  <c r="L15" i="1"/>
  <c r="H15" i="1"/>
  <c r="E15" i="1"/>
  <c r="L14" i="1"/>
  <c r="H14" i="1"/>
  <c r="E14" i="1"/>
  <c r="L25" i="1"/>
  <c r="H25" i="1"/>
  <c r="E25" i="1"/>
  <c r="L24" i="1"/>
  <c r="H24" i="1"/>
  <c r="E24" i="1"/>
  <c r="L23" i="1"/>
  <c r="H23" i="1"/>
  <c r="E23" i="1"/>
  <c r="L22" i="1"/>
  <c r="H22" i="1"/>
  <c r="E22" i="1"/>
  <c r="L21" i="1"/>
  <c r="H21" i="1"/>
  <c r="E21" i="1"/>
  <c r="L20" i="1"/>
  <c r="H20" i="1"/>
  <c r="E20" i="1"/>
  <c r="L31" i="1"/>
  <c r="H31" i="1"/>
  <c r="E31" i="1"/>
  <c r="L30" i="1"/>
  <c r="H30" i="1"/>
  <c r="E30" i="1"/>
  <c r="H29" i="1"/>
  <c r="E29" i="1"/>
  <c r="H28" i="1"/>
  <c r="E28" i="1"/>
  <c r="L27" i="1"/>
  <c r="H27" i="1"/>
  <c r="E27" i="1"/>
  <c r="L26" i="1"/>
  <c r="H26" i="1"/>
  <c r="H37" i="1"/>
  <c r="E37" i="1"/>
  <c r="H36" i="1"/>
  <c r="E36" i="1"/>
  <c r="L35" i="1"/>
  <c r="L34" i="1"/>
  <c r="H34" i="1"/>
  <c r="E34" i="1"/>
  <c r="L33" i="1"/>
  <c r="H32" i="1"/>
  <c r="E32" i="1"/>
  <c r="L41" i="1"/>
  <c r="L40" i="1"/>
  <c r="L39" i="1"/>
  <c r="H39" i="1"/>
  <c r="E39" i="1"/>
  <c r="L38" i="1"/>
  <c r="H38" i="1"/>
  <c r="E38" i="1"/>
  <c r="L13" i="1"/>
  <c r="H13" i="1"/>
  <c r="E13" i="1"/>
  <c r="L12" i="1"/>
  <c r="H12" i="1"/>
  <c r="E12" i="1"/>
  <c r="L11" i="1"/>
  <c r="H11" i="1"/>
  <c r="E11" i="1"/>
  <c r="K37" i="1" l="1"/>
  <c r="M37" i="1" s="1"/>
  <c r="K29" i="1"/>
  <c r="M29" i="1" s="1"/>
  <c r="K28" i="1"/>
  <c r="M28" i="1" s="1"/>
  <c r="K25" i="1"/>
  <c r="M25" i="1" s="1"/>
  <c r="K23" i="1"/>
  <c r="M23" i="1" s="1"/>
  <c r="K19" i="1"/>
  <c r="M19" i="1" s="1"/>
  <c r="K22" i="1"/>
  <c r="M22" i="1" s="1"/>
  <c r="K36" i="1"/>
  <c r="M36" i="1" s="1"/>
  <c r="K18" i="1"/>
  <c r="M18" i="1" s="1"/>
  <c r="K21" i="1"/>
  <c r="M21" i="1" s="1"/>
  <c r="K15" i="1"/>
  <c r="M15" i="1" s="1"/>
  <c r="K31" i="1"/>
  <c r="M31" i="1" s="1"/>
  <c r="K17" i="1"/>
  <c r="M17" i="1" s="1"/>
  <c r="K14" i="1"/>
  <c r="M14" i="1" s="1"/>
  <c r="K24" i="1"/>
  <c r="M24" i="1" s="1"/>
  <c r="K34" i="1"/>
  <c r="M34" i="1" s="1"/>
  <c r="K27" i="1"/>
  <c r="M27" i="1" s="1"/>
  <c r="K30" i="1"/>
  <c r="M30" i="1" s="1"/>
  <c r="K20" i="1"/>
  <c r="M20" i="1" s="1"/>
  <c r="K26" i="1"/>
  <c r="M26" i="1" s="1"/>
  <c r="K32" i="1"/>
  <c r="M32" i="1" s="1"/>
  <c r="K41" i="1"/>
  <c r="M41" i="1" s="1"/>
  <c r="K38" i="1"/>
  <c r="M38" i="1" s="1"/>
  <c r="K39" i="1"/>
  <c r="M39" i="1" s="1"/>
  <c r="K11" i="1"/>
  <c r="M11" i="1" s="1"/>
  <c r="M42" i="1" s="1"/>
  <c r="M44" i="1" s="1"/>
  <c r="K12" i="1"/>
  <c r="M12" i="1" s="1"/>
  <c r="E42" i="1"/>
  <c r="E44" i="1" s="1"/>
  <c r="K13" i="1"/>
  <c r="M13" i="1" s="1"/>
  <c r="K42" i="1" l="1"/>
  <c r="K44" i="1" s="1"/>
  <c r="K33" i="1" l="1"/>
  <c r="M33" i="1" s="1"/>
  <c r="G35" i="1"/>
  <c r="K35" i="1"/>
  <c r="M35" i="1" s="1"/>
  <c r="H42" i="1"/>
  <c r="H44" i="1" s="1"/>
  <c r="G40" i="1"/>
  <c r="K40" i="1"/>
  <c r="M40" i="1" s="1"/>
</calcChain>
</file>

<file path=xl/sharedStrings.xml><?xml version="1.0" encoding="utf-8"?>
<sst xmlns="http://schemas.openxmlformats.org/spreadsheetml/2006/main" count="133" uniqueCount="79">
  <si>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</si>
  <si>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</si>
  <si>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</si>
  <si>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</si>
  <si>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</si>
  <si>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</si>
  <si>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</si>
  <si>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</si>
  <si>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</si>
  <si>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</si>
  <si>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</si>
  <si>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</si>
  <si>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</si>
  <si>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</si>
  <si>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</si>
  <si>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</si>
  <si>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</si>
  <si>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</si>
  <si>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</si>
  <si>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</si>
  <si>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INTERNATIONAL LINING TECHNOLOGY</t>
  </si>
  <si>
    <t xml:space="preserve">LSG MATTER #: 427800.16429-00 </t>
  </si>
  <si>
    <t>CLAIM #: CP0021174333</t>
  </si>
  <si>
    <t>DATE OF LOSS: 8/25/2025</t>
  </si>
  <si>
    <t>CAUSE OF LOSS: VANDALISM / THEFT</t>
  </si>
  <si>
    <t>N/A</t>
  </si>
  <si>
    <t>AVERAGE</t>
  </si>
  <si>
    <t>COMMERCIAL PLASTIC WELDING MACHINE.</t>
  </si>
  <si>
    <t>WEDGE WELDER PLASTIC WELDING MACHINE</t>
  </si>
  <si>
    <t>TENSIOMETER</t>
  </si>
  <si>
    <t>TENNSIOMETER</t>
  </si>
  <si>
    <t>LEISTERS HOT AIR GUN</t>
  </si>
  <si>
    <t>WEDGE - 3XL HIGH SPEED</t>
  </si>
  <si>
    <t>BLOWER BACKPACK BLOWER</t>
  </si>
  <si>
    <t>GENERATOR (HONDA)</t>
  </si>
  <si>
    <t>SAWS</t>
  </si>
  <si>
    <t>VACUUM BOX</t>
  </si>
  <si>
    <t>CHAIN SAW (HASQUARNA)</t>
  </si>
  <si>
    <t>TRAILER SECURITY CHAIN (WELLS CARGO) HITCH</t>
  </si>
  <si>
    <t>GAS POWERED BRUSH (STIHL)</t>
  </si>
  <si>
    <t>AIR GUN (RYOBI)</t>
  </si>
  <si>
    <t>ROTARY HAMMER (HILTI)</t>
  </si>
  <si>
    <t>GRINDER (DEWALT)</t>
  </si>
  <si>
    <t>DRILL (MILWAUKEE)</t>
  </si>
  <si>
    <t>IMPACT DRILL (MILWAUKEE)</t>
  </si>
  <si>
    <t>DEPLOYMENT STRAPS</t>
  </si>
  <si>
    <t>SHOVELS</t>
  </si>
  <si>
    <t>SLEDGE HAMMER</t>
  </si>
  <si>
    <t>AIR TEST NEEDLES</t>
  </si>
  <si>
    <t>GRINDING DISC</t>
  </si>
  <si>
    <t>WHITE-OUT PENS</t>
  </si>
  <si>
    <t>HOOK BLADES</t>
  </si>
  <si>
    <t>STRAIGHT BLADES</t>
  </si>
  <si>
    <t>230 VOLT ELEMENTS</t>
  </si>
  <si>
    <t>120 VOLT ELEMANTS</t>
  </si>
  <si>
    <t xml:space="preserve">LEISTER BRAND PROFESSIONAL HEAT GUN. WITH A SLIGHT MARK UP ON MATERIALS. </t>
  </si>
  <si>
    <t>STIHL BRAND BACKPACK AIR BLOWER</t>
  </si>
  <si>
    <t>DEMTECH BRAND PRO-TESTER SINGLE STATION TENSIOMETER, HI-PULL (SEE QUOTE # 120703 FROM DEMTECH)</t>
  </si>
  <si>
    <t>DEMTECH BRAND DUAL STATION TENIOMETER WITH CASE (SEE QUOTE # 120703 FROM DEMTECH)</t>
  </si>
  <si>
    <t>DEMTECH BRAND PRO-WEDGE 3XL HIGH SPEED WEDGE WELDER (SEE QUOTE # 120703 FROM DEMTECH)</t>
  </si>
  <si>
    <t>DEMTECH BRAND V-PLATE VACUUM TESTER, SELF CONTAINED, HI-VAC (SEE QUOTE # 120703 FROM DEMTECH)</t>
  </si>
  <si>
    <t>HONDA BRAND ELECTRIC GENERATOR RATED FOR 1800 WATTS MODEL # EU2200ITAN</t>
  </si>
  <si>
    <t>DEWALT BRAND CHOP SAW</t>
  </si>
  <si>
    <t>HASQVARNA GAS CHAINSAW WITH A 28 INCH BAR LENGTH</t>
  </si>
  <si>
    <t>TRAILER HITCH SECURITY CHAIN.</t>
  </si>
  <si>
    <t>RECOVERED</t>
  </si>
  <si>
    <t xml:space="preserve">MILWAUKEE BRAND HAMMER DRILL/DRIVER </t>
  </si>
  <si>
    <t>MILWAUKEE BRAND IMPACT DRILL</t>
  </si>
  <si>
    <t xml:space="preserve">TWO (2) STIHL BRAND GAS POWERED BRUSH CUTTER. WITH A SLIGHT MARK UP ON MATERIALS. </t>
  </si>
  <si>
    <t>THREE (3) ROUND POINT SHOVELS WITH 14 GAUGE STRAIGHT HANDLE TYPE.</t>
  </si>
  <si>
    <t xml:space="preserve">ONE (1), SIXTEEN (16) POUND SLEDGE HAMMER WITH WOODED HANDLE. </t>
  </si>
  <si>
    <t>AIR / GAS SAMPLE PROVE NEEDLES</t>
  </si>
  <si>
    <t>CARBON STEEL 100/PK HOOK UTILITY BLADES</t>
  </si>
  <si>
    <t>GENERAL PURPOSE UTILITY BLADES WITH DISPENSER (100-PIECES)</t>
  </si>
  <si>
    <t>TWO (2) 230 VOLT HEATING ELEMENT THAT GOES INSIDE A LEISTER BRAND HOT AIR GUN</t>
  </si>
  <si>
    <t>TWO (2) 120 VOLT HEATING ELEMENT THAT GOES INSIDE A LEISTER BRAND HOT AIR GUN</t>
  </si>
  <si>
    <t>DOCUMENT PRESENTED BY INSURED TITLED "STOLEN EQUIPMENT &amp; SUPPLIES - REPLACEMENT COST"</t>
  </si>
  <si>
    <t>LEISTER BRAND INTELLIGENT HOT AIR GUN FOR PLASTIC WELDING.</t>
  </si>
  <si>
    <t>RYOBI BRAND CORDLESS HOT AIR GUN (TOOL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</si>
</sst>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4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0" fontId="7" fillId="5" borderId="16" xfId="0" applyFont="1" applyFill="1" applyBorder="1" applyAlignment="1">
      <alignment horizontal="left" wrapText="1"/>
    </xf>
    <xf numFmtId="0" fontId="7" fillId="5" borderId="16" xfId="0" applyFont="1" applyFill="1" applyBorder="1" applyAlignment="1">
      <alignment horizontal="center"/>
    </xf>
    <xf numFmtId="44" fontId="7" fillId="5" borderId="16" xfId="1" applyFont="1" applyFill="1" applyBorder="1" applyAlignment="1">
      <alignment horizontal="center"/>
    </xf>
    <xf numFmtId="0" fontId="7" fillId="5" borderId="16" xfId="1" applyNumberFormat="1" applyFont="1" applyFill="1" applyBorder="1" applyAlignment="1">
      <alignment horizontal="center"/>
    </xf>
    <xf numFmtId="9" fontId="7" fillId="5" borderId="16" xfId="6" applyFont="1" applyFill="1" applyBorder="1" applyAlignment="1">
      <alignment horizontal="center"/>
    </xf>
    <xf numFmtId="0" fontId="7" fillId="5" borderId="16" xfId="1" applyNumberFormat="1" applyFont="1" applyFill="1" applyBorder="1" applyAlignment="1">
      <alignment horizontal="center" wrapText="1"/>
    </xf>
    <xf numFmtId="0" fontId="7" fillId="5" borderId="21" xfId="0" applyFont="1" applyFill="1" applyBorder="1" applyAlignment="1">
      <alignment horizontal="left" wrapText="1"/>
    </xf>
    <xf numFmtId="0" fontId="7" fillId="5" borderId="16" xfId="0" applyFont="1" applyFill="1" applyBorder="1" applyAlignment="1">
      <alignment horizontal="center" wrapText="1"/>
    </xf>
    <xf numFmtId="0" fontId="7" fillId="5" borderId="20" xfId="0" applyFont="1" applyFill="1" applyBorder="1" applyAlignment="1">
      <alignment horizont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7"/>
  <sheetViews>
    <sheetView tabSelected="1" topLeftCell="A2" zoomScale="80" zoomScaleNormal="80" zoomScalePageLayoutView="90" workbookViewId="0">
      <selection activeCell="O36" sqref="A36:O37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6" ht="15.75" customHeight="1" x14ac:dyDescent="0.2">
      <c r="A1" s="48" t="s">
        <v>20</v>
      </c>
      <c r="B1" s="49"/>
      <c r="C1" s="49"/>
      <c r="D1" s="49"/>
      <c r="E1" s="50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6" ht="15.75" customHeight="1" x14ac:dyDescent="0.2">
      <c r="A2" s="51" t="s">
        <v>21</v>
      </c>
      <c r="B2" s="52"/>
      <c r="C2" s="52"/>
      <c r="D2" s="52"/>
      <c r="E2" s="53"/>
      <c r="F2" s="1"/>
      <c r="G2"/>
      <c r="H2"/>
      <c r="I2"/>
      <c r="J2" s="1"/>
      <c r="K2" s="1"/>
      <c r="M2" s="1"/>
      <c r="N2" s="1"/>
      <c r="O2" s="2"/>
      <c r="P2" s="2"/>
    </row>
    <row r="3" spans="1:16" ht="15.75" customHeight="1" x14ac:dyDescent="0.2">
      <c r="A3" s="51" t="s">
        <v>22</v>
      </c>
      <c r="B3" s="52"/>
      <c r="C3" s="52"/>
      <c r="D3" s="52"/>
      <c r="E3" s="53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6" ht="15.75" customHeight="1" x14ac:dyDescent="0.2">
      <c r="A4" s="51" t="s">
        <v>23</v>
      </c>
      <c r="B4" s="52"/>
      <c r="C4" s="52"/>
      <c r="D4" s="52"/>
      <c r="E4" s="53"/>
      <c r="F4" s="6"/>
      <c r="G4"/>
      <c r="H4"/>
      <c r="I4"/>
      <c r="J4" s="7"/>
      <c r="K4" s="7"/>
      <c r="L4" s="1"/>
      <c r="O4" s="3"/>
    </row>
    <row r="5" spans="1:16" ht="15.75" customHeight="1" thickBot="1" x14ac:dyDescent="0.25">
      <c r="A5" s="54" t="s">
        <v>24</v>
      </c>
      <c r="B5" s="55"/>
      <c r="C5" s="55"/>
      <c r="D5" s="55"/>
      <c r="E5" s="56"/>
      <c r="F5" s="1"/>
      <c r="G5"/>
      <c r="H5"/>
      <c r="I5"/>
      <c r="J5" s="1"/>
      <c r="K5" s="1"/>
      <c r="L5" s="1"/>
      <c r="O5" s="3"/>
    </row>
    <row r="7" spans="1:16" ht="12.75" customHeight="1" thickBo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26"/>
    </row>
    <row r="8" spans="1:16" s="9" customFormat="1" ht="25.5" customHeight="1" thickBot="1" x14ac:dyDescent="0.2">
      <c r="A8" s="35" t="s">
        <v>76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6" ht="24" customHeight="1" thickBot="1" x14ac:dyDescent="0.25">
      <c r="A9" s="38" t="s">
        <v>0</v>
      </c>
      <c r="B9" s="40" t="s">
        <v>1</v>
      </c>
      <c r="C9" s="42" t="s">
        <v>2</v>
      </c>
      <c r="D9" s="43"/>
      <c r="E9" s="44"/>
      <c r="F9" s="42" t="s">
        <v>3</v>
      </c>
      <c r="G9" s="43"/>
      <c r="H9" s="44"/>
      <c r="I9" s="45" t="s">
        <v>4</v>
      </c>
      <c r="J9" s="45" t="s">
        <v>5</v>
      </c>
      <c r="K9" s="45" t="s">
        <v>6</v>
      </c>
      <c r="L9" s="45" t="s">
        <v>7</v>
      </c>
      <c r="M9" s="45" t="s">
        <v>8</v>
      </c>
      <c r="N9" s="45" t="s">
        <v>9</v>
      </c>
      <c r="O9" s="38" t="s">
        <v>10</v>
      </c>
    </row>
    <row r="10" spans="1:16" ht="24" customHeight="1" thickBot="1" x14ac:dyDescent="0.25">
      <c r="A10" s="39"/>
      <c r="B10" s="41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46"/>
      <c r="J10" s="46"/>
      <c r="K10" s="46"/>
      <c r="L10" s="46"/>
      <c r="M10" s="46"/>
      <c r="N10" s="46"/>
      <c r="O10" s="39"/>
    </row>
    <row r="11" spans="1:16" ht="76" customHeight="1" x14ac:dyDescent="0.2">
      <c r="A11" s="76">
        <v>1</v>
      </c>
      <c r="B11" s="77" t="s">
        <v>28</v>
      </c>
      <c r="C11" s="78">
        <v>1</v>
      </c>
      <c r="D11" s="79">
        <v>8569.7199999999993</v>
      </c>
      <c r="E11" s="79">
        <f t="shared" ref="E11:E37" si="0">C11*D11</f>
        <v>8569.7199999999993</v>
      </c>
      <c r="F11" s="78">
        <v>1</v>
      </c>
      <c r="G11" s="79">
        <v>8569.7199999999993</v>
      </c>
      <c r="H11" s="79">
        <f>F11*G11</f>
        <v>8569.7199999999993</v>
      </c>
      <c r="I11" s="80">
        <v>13</v>
      </c>
      <c r="J11" s="80"/>
      <c r="K11" s="79" t="e">
        <f>H11*(1-L11)</f>
        <v>#DIV/0!</v>
      </c>
      <c r="L11" s="81" t="e">
        <f>IF((I11/J11)&gt;=0.75,0.75,IF((I11/J11)&gt;=0,(I11/J11),IF((I11/J11)&lt;=0.1,0)))</f>
        <v>#DIV/0!</v>
      </c>
      <c r="M11" s="79" t="e">
        <f>H11-K11</f>
        <v>#DIV/0!</v>
      </c>
      <c r="N11" s="82" t="s">
        <v>26</v>
      </c>
      <c r="O11" s="83" t="s">
        <v>27</v>
      </c>
    </row>
    <row r="12" spans="1:16" ht="65" customHeight="1" x14ac:dyDescent="0.2">
      <c r="A12" s="84">
        <v>2</v>
      </c>
      <c r="B12" s="71" t="s">
        <v>29</v>
      </c>
      <c r="C12" s="70">
        <v>1</v>
      </c>
      <c r="D12" s="72">
        <v>7790.21</v>
      </c>
      <c r="E12" s="72">
        <f t="shared" si="0"/>
        <v>7790.21</v>
      </c>
      <c r="F12" s="70">
        <v>1</v>
      </c>
      <c r="G12" s="72">
        <v>7790.21</v>
      </c>
      <c r="H12" s="72">
        <f t="shared" ref="H12:H37" si="1">F12*G12</f>
        <v>7790.21</v>
      </c>
      <c r="I12" s="73">
        <v>13</v>
      </c>
      <c r="J12" s="73"/>
      <c r="K12" s="72" t="e">
        <f t="shared" ref="K12:K37" si="2">H12*(1-L12)</f>
        <v>#DIV/0!</v>
      </c>
      <c r="L12" s="74" t="e">
        <f t="shared" ref="L12:L35" si="3">IF((I12/J12)&gt;=0.75,0.75,IF((I12/J12)&gt;=0,(I12/J12),IF((I12/J12)&lt;=0.1,0)))</f>
        <v>#DIV/0!</v>
      </c>
      <c r="M12" s="72" t="e">
        <f t="shared" ref="M12:M37" si="4">H12-K12</f>
        <v>#DIV/0!</v>
      </c>
      <c r="N12" s="75" t="s">
        <v>26</v>
      </c>
      <c r="O12" s="85" t="s">
        <v>57</v>
      </c>
    </row>
    <row r="13" spans="1:16" ht="65" customHeight="1" x14ac:dyDescent="0.2">
      <c r="A13" s="84">
        <v>3</v>
      </c>
      <c r="B13" s="71" t="s">
        <v>30</v>
      </c>
      <c r="C13" s="70">
        <v>1</v>
      </c>
      <c r="D13" s="72">
        <v>8764.59</v>
      </c>
      <c r="E13" s="72">
        <f t="shared" si="0"/>
        <v>8764.59</v>
      </c>
      <c r="F13" s="70">
        <v>1</v>
      </c>
      <c r="G13" s="72">
        <v>8764.59</v>
      </c>
      <c r="H13" s="72">
        <f t="shared" si="1"/>
        <v>8764.59</v>
      </c>
      <c r="I13" s="73">
        <v>10</v>
      </c>
      <c r="J13" s="73"/>
      <c r="K13" s="72" t="e">
        <f t="shared" si="2"/>
        <v>#DIV/0!</v>
      </c>
      <c r="L13" s="74" t="e">
        <f t="shared" si="3"/>
        <v>#DIV/0!</v>
      </c>
      <c r="M13" s="72" t="e">
        <f t="shared" si="4"/>
        <v>#DIV/0!</v>
      </c>
      <c r="N13" s="75" t="s">
        <v>26</v>
      </c>
      <c r="O13" s="85" t="s">
        <v>58</v>
      </c>
    </row>
    <row r="14" spans="1:16" ht="65" customHeight="1" x14ac:dyDescent="0.2">
      <c r="A14" s="84">
        <v>4</v>
      </c>
      <c r="B14" s="71" t="s">
        <v>31</v>
      </c>
      <c r="C14" s="70">
        <v>1</v>
      </c>
      <c r="D14" s="72">
        <v>561.9</v>
      </c>
      <c r="E14" s="72">
        <f t="shared" ref="E14:E19" si="5">C14*D14</f>
        <v>561.9</v>
      </c>
      <c r="F14" s="70">
        <v>1</v>
      </c>
      <c r="G14" s="72">
        <v>561.9</v>
      </c>
      <c r="H14" s="72">
        <f t="shared" ref="H14:H19" si="6">F14*G14</f>
        <v>561.9</v>
      </c>
      <c r="I14" s="73">
        <v>6</v>
      </c>
      <c r="J14" s="73"/>
      <c r="K14" s="72" t="e">
        <f t="shared" ref="K14:K19" si="7">H14*(1-L14)</f>
        <v>#DIV/0!</v>
      </c>
      <c r="L14" s="74" t="e">
        <f t="shared" ref="L14:L19" si="8">IF((I14/J14)&gt;=0.75,0.75,IF((I14/J14)&gt;=0,(I14/J14),IF((I14/J14)&lt;=0.1,0)))</f>
        <v>#DIV/0!</v>
      </c>
      <c r="M14" s="72" t="e">
        <f t="shared" ref="M14:M19" si="9">H14-K14</f>
        <v>#DIV/0!</v>
      </c>
      <c r="N14" s="75" t="s">
        <v>26</v>
      </c>
      <c r="O14" s="86" t="s">
        <v>55</v>
      </c>
    </row>
    <row r="15" spans="1:16" ht="65" customHeight="1" x14ac:dyDescent="0.2">
      <c r="A15" s="84">
        <v>5</v>
      </c>
      <c r="B15" s="71" t="s">
        <v>32</v>
      </c>
      <c r="C15" s="70">
        <v>1</v>
      </c>
      <c r="D15" s="72">
        <v>9544.1</v>
      </c>
      <c r="E15" s="72">
        <f t="shared" si="5"/>
        <v>9544.1</v>
      </c>
      <c r="F15" s="70">
        <v>1</v>
      </c>
      <c r="G15" s="72">
        <v>9544.1</v>
      </c>
      <c r="H15" s="72">
        <f t="shared" si="6"/>
        <v>9544.1</v>
      </c>
      <c r="I15" s="73">
        <v>7</v>
      </c>
      <c r="J15" s="73"/>
      <c r="K15" s="72" t="e">
        <f t="shared" si="7"/>
        <v>#DIV/0!</v>
      </c>
      <c r="L15" s="74" t="e">
        <f t="shared" si="8"/>
        <v>#DIV/0!</v>
      </c>
      <c r="M15" s="72" t="e">
        <f t="shared" si="9"/>
        <v>#DIV/0!</v>
      </c>
      <c r="N15" s="75" t="s">
        <v>26</v>
      </c>
      <c r="O15" s="85" t="s">
        <v>59</v>
      </c>
    </row>
    <row r="16" spans="1:16" ht="65" customHeight="1" x14ac:dyDescent="0.2">
      <c r="A16" s="84">
        <v>6</v>
      </c>
      <c r="B16" s="71" t="s">
        <v>31</v>
      </c>
      <c r="C16" s="70">
        <v>1</v>
      </c>
      <c r="D16" s="72">
        <v>618.19000000000005</v>
      </c>
      <c r="E16" s="72">
        <f t="shared" si="5"/>
        <v>618.19000000000005</v>
      </c>
      <c r="F16" s="70">
        <v>1</v>
      </c>
      <c r="G16" s="72">
        <v>618.19000000000005</v>
      </c>
      <c r="H16" s="72">
        <f t="shared" si="6"/>
        <v>618.19000000000005</v>
      </c>
      <c r="I16" s="73">
        <v>6</v>
      </c>
      <c r="J16" s="73"/>
      <c r="K16" s="72" t="e">
        <f t="shared" si="7"/>
        <v>#DIV/0!</v>
      </c>
      <c r="L16" s="74" t="e">
        <f t="shared" si="8"/>
        <v>#DIV/0!</v>
      </c>
      <c r="M16" s="72" t="e">
        <f t="shared" si="9"/>
        <v>#DIV/0!</v>
      </c>
      <c r="N16" s="75" t="s">
        <v>26</v>
      </c>
      <c r="O16" s="86" t="s">
        <v>77</v>
      </c>
    </row>
    <row r="17" spans="1:15" ht="65" customHeight="1" x14ac:dyDescent="0.2">
      <c r="A17" s="84">
        <v>7</v>
      </c>
      <c r="B17" s="71" t="s">
        <v>31</v>
      </c>
      <c r="C17" s="70">
        <v>1</v>
      </c>
      <c r="D17" s="72">
        <v>618.19000000000005</v>
      </c>
      <c r="E17" s="72">
        <f t="shared" si="5"/>
        <v>618.19000000000005</v>
      </c>
      <c r="F17" s="70">
        <v>1</v>
      </c>
      <c r="G17" s="72">
        <v>618.19000000000005</v>
      </c>
      <c r="H17" s="72">
        <f t="shared" si="6"/>
        <v>618.19000000000005</v>
      </c>
      <c r="I17" s="73">
        <v>6</v>
      </c>
      <c r="J17" s="73"/>
      <c r="K17" s="72" t="e">
        <f t="shared" si="7"/>
        <v>#DIV/0!</v>
      </c>
      <c r="L17" s="74" t="e">
        <f t="shared" si="8"/>
        <v>#DIV/0!</v>
      </c>
      <c r="M17" s="72" t="e">
        <f t="shared" si="9"/>
        <v>#DIV/0!</v>
      </c>
      <c r="N17" s="75" t="s">
        <v>26</v>
      </c>
      <c r="O17" s="86" t="s">
        <v>77</v>
      </c>
    </row>
    <row r="18" spans="1:15" ht="65" customHeight="1" x14ac:dyDescent="0.2">
      <c r="A18" s="84">
        <v>8</v>
      </c>
      <c r="B18" s="71" t="s">
        <v>33</v>
      </c>
      <c r="C18" s="70">
        <v>1</v>
      </c>
      <c r="D18" s="72">
        <v>883.38</v>
      </c>
      <c r="E18" s="72">
        <f t="shared" si="5"/>
        <v>883.38</v>
      </c>
      <c r="F18" s="70">
        <v>1</v>
      </c>
      <c r="G18" s="72">
        <v>883.38</v>
      </c>
      <c r="H18" s="72">
        <f t="shared" si="6"/>
        <v>883.38</v>
      </c>
      <c r="I18" s="73">
        <v>5</v>
      </c>
      <c r="J18" s="73"/>
      <c r="K18" s="72" t="e">
        <f t="shared" si="7"/>
        <v>#DIV/0!</v>
      </c>
      <c r="L18" s="74" t="e">
        <f t="shared" si="8"/>
        <v>#DIV/0!</v>
      </c>
      <c r="M18" s="72" t="e">
        <f t="shared" si="9"/>
        <v>#DIV/0!</v>
      </c>
      <c r="N18" s="75" t="s">
        <v>26</v>
      </c>
      <c r="O18" s="86" t="s">
        <v>56</v>
      </c>
    </row>
    <row r="19" spans="1:15" ht="65" customHeight="1" x14ac:dyDescent="0.2">
      <c r="A19" s="84">
        <v>9</v>
      </c>
      <c r="B19" s="71" t="s">
        <v>31</v>
      </c>
      <c r="C19" s="70">
        <v>1</v>
      </c>
      <c r="D19" s="72">
        <v>561.9</v>
      </c>
      <c r="E19" s="72">
        <f t="shared" si="5"/>
        <v>561.9</v>
      </c>
      <c r="F19" s="70">
        <v>1</v>
      </c>
      <c r="G19" s="72">
        <v>561.9</v>
      </c>
      <c r="H19" s="72">
        <f t="shared" si="6"/>
        <v>561.9</v>
      </c>
      <c r="I19" s="73">
        <v>6</v>
      </c>
      <c r="J19" s="73"/>
      <c r="K19" s="72" t="e">
        <f t="shared" si="7"/>
        <v>#DIV/0!</v>
      </c>
      <c r="L19" s="74" t="e">
        <f t="shared" si="8"/>
        <v>#DIV/0!</v>
      </c>
      <c r="M19" s="72" t="e">
        <f t="shared" si="9"/>
        <v>#DIV/0!</v>
      </c>
      <c r="N19" s="75" t="s">
        <v>26</v>
      </c>
      <c r="O19" s="86" t="s">
        <v>55</v>
      </c>
    </row>
    <row r="20" spans="1:15" ht="65" customHeight="1" x14ac:dyDescent="0.2">
      <c r="A20" s="84">
        <v>10</v>
      </c>
      <c r="B20" s="71" t="s">
        <v>34</v>
      </c>
      <c r="C20" s="70">
        <v>1</v>
      </c>
      <c r="D20" s="72">
        <v>1189.83</v>
      </c>
      <c r="E20" s="72">
        <f t="shared" si="0"/>
        <v>1189.83</v>
      </c>
      <c r="F20" s="70">
        <v>1</v>
      </c>
      <c r="G20" s="72">
        <v>1189.83</v>
      </c>
      <c r="H20" s="72">
        <f t="shared" si="1"/>
        <v>1189.83</v>
      </c>
      <c r="I20" s="73">
        <v>2</v>
      </c>
      <c r="J20" s="73"/>
      <c r="K20" s="72" t="e">
        <f t="shared" si="2"/>
        <v>#DIV/0!</v>
      </c>
      <c r="L20" s="74" t="e">
        <f t="shared" si="3"/>
        <v>#DIV/0!</v>
      </c>
      <c r="M20" s="72" t="e">
        <f t="shared" si="4"/>
        <v>#DIV/0!</v>
      </c>
      <c r="N20" s="75" t="s">
        <v>26</v>
      </c>
      <c r="O20" s="86" t="s">
        <v>61</v>
      </c>
    </row>
    <row r="21" spans="1:15" ht="65" customHeight="1" x14ac:dyDescent="0.2">
      <c r="A21" s="84">
        <v>11</v>
      </c>
      <c r="B21" s="71" t="s">
        <v>35</v>
      </c>
      <c r="C21" s="70">
        <v>1</v>
      </c>
      <c r="D21" s="72">
        <v>258.75</v>
      </c>
      <c r="E21" s="72">
        <f t="shared" si="0"/>
        <v>258.75</v>
      </c>
      <c r="F21" s="70">
        <v>1</v>
      </c>
      <c r="G21" s="72">
        <v>258.75</v>
      </c>
      <c r="H21" s="72">
        <f t="shared" si="1"/>
        <v>258.75</v>
      </c>
      <c r="I21" s="73">
        <v>3</v>
      </c>
      <c r="J21" s="73"/>
      <c r="K21" s="72" t="e">
        <f t="shared" si="2"/>
        <v>#DIV/0!</v>
      </c>
      <c r="L21" s="74" t="e">
        <f t="shared" si="3"/>
        <v>#DIV/0!</v>
      </c>
      <c r="M21" s="72" t="e">
        <f t="shared" si="4"/>
        <v>#DIV/0!</v>
      </c>
      <c r="N21" s="75" t="s">
        <v>26</v>
      </c>
      <c r="O21" s="86" t="s">
        <v>62</v>
      </c>
    </row>
    <row r="22" spans="1:15" ht="65" customHeight="1" x14ac:dyDescent="0.2">
      <c r="A22" s="84">
        <v>12</v>
      </c>
      <c r="B22" s="71" t="s">
        <v>36</v>
      </c>
      <c r="C22" s="70">
        <v>1</v>
      </c>
      <c r="D22" s="72">
        <v>612.89</v>
      </c>
      <c r="E22" s="72">
        <f t="shared" si="0"/>
        <v>612.89</v>
      </c>
      <c r="F22" s="70">
        <v>1</v>
      </c>
      <c r="G22" s="72">
        <v>612.89</v>
      </c>
      <c r="H22" s="72">
        <f t="shared" si="1"/>
        <v>612.89</v>
      </c>
      <c r="I22" s="73">
        <v>3</v>
      </c>
      <c r="J22" s="73"/>
      <c r="K22" s="72" t="e">
        <f t="shared" si="2"/>
        <v>#DIV/0!</v>
      </c>
      <c r="L22" s="74" t="e">
        <f t="shared" si="3"/>
        <v>#DIV/0!</v>
      </c>
      <c r="M22" s="72" t="e">
        <f t="shared" si="4"/>
        <v>#DIV/0!</v>
      </c>
      <c r="N22" s="75" t="s">
        <v>26</v>
      </c>
      <c r="O22" s="85" t="s">
        <v>60</v>
      </c>
    </row>
    <row r="23" spans="1:15" ht="65" customHeight="1" x14ac:dyDescent="0.2">
      <c r="A23" s="84">
        <v>13</v>
      </c>
      <c r="B23" s="71" t="s">
        <v>36</v>
      </c>
      <c r="C23" s="70">
        <v>1</v>
      </c>
      <c r="D23" s="72">
        <v>612.89</v>
      </c>
      <c r="E23" s="72">
        <f t="shared" si="0"/>
        <v>612.89</v>
      </c>
      <c r="F23" s="70">
        <v>1</v>
      </c>
      <c r="G23" s="72">
        <v>612.89</v>
      </c>
      <c r="H23" s="72">
        <f t="shared" si="1"/>
        <v>612.89</v>
      </c>
      <c r="I23" s="73">
        <v>3</v>
      </c>
      <c r="J23" s="73"/>
      <c r="K23" s="72" t="e">
        <f t="shared" si="2"/>
        <v>#DIV/0!</v>
      </c>
      <c r="L23" s="74" t="e">
        <f t="shared" si="3"/>
        <v>#DIV/0!</v>
      </c>
      <c r="M23" s="72" t="e">
        <f t="shared" si="4"/>
        <v>#DIV/0!</v>
      </c>
      <c r="N23" s="75" t="s">
        <v>26</v>
      </c>
      <c r="O23" s="85" t="s">
        <v>60</v>
      </c>
    </row>
    <row r="24" spans="1:15" ht="65" customHeight="1" x14ac:dyDescent="0.2">
      <c r="A24" s="84">
        <v>14</v>
      </c>
      <c r="B24" s="71" t="s">
        <v>37</v>
      </c>
      <c r="C24" s="70">
        <v>1</v>
      </c>
      <c r="D24" s="72">
        <v>1357.59</v>
      </c>
      <c r="E24" s="72">
        <f t="shared" si="0"/>
        <v>1357.59</v>
      </c>
      <c r="F24" s="70">
        <v>1</v>
      </c>
      <c r="G24" s="72">
        <v>1357.59</v>
      </c>
      <c r="H24" s="72">
        <f t="shared" si="1"/>
        <v>1357.59</v>
      </c>
      <c r="I24" s="73">
        <v>3</v>
      </c>
      <c r="J24" s="73"/>
      <c r="K24" s="72" t="e">
        <f t="shared" si="2"/>
        <v>#DIV/0!</v>
      </c>
      <c r="L24" s="74" t="e">
        <f t="shared" si="3"/>
        <v>#DIV/0!</v>
      </c>
      <c r="M24" s="72" t="e">
        <f t="shared" si="4"/>
        <v>#DIV/0!</v>
      </c>
      <c r="N24" s="75" t="s">
        <v>26</v>
      </c>
      <c r="O24" s="86" t="s">
        <v>63</v>
      </c>
    </row>
    <row r="25" spans="1:15" ht="65" customHeight="1" x14ac:dyDescent="0.2">
      <c r="A25" s="84">
        <v>15</v>
      </c>
      <c r="B25" s="71" t="s">
        <v>38</v>
      </c>
      <c r="C25" s="70">
        <v>1</v>
      </c>
      <c r="D25" s="72">
        <v>54.11</v>
      </c>
      <c r="E25" s="72">
        <f t="shared" si="0"/>
        <v>54.11</v>
      </c>
      <c r="F25" s="70">
        <v>1</v>
      </c>
      <c r="G25" s="72">
        <v>54.11</v>
      </c>
      <c r="H25" s="72">
        <f t="shared" si="1"/>
        <v>54.11</v>
      </c>
      <c r="I25" s="73">
        <v>3</v>
      </c>
      <c r="J25" s="73"/>
      <c r="K25" s="72" t="e">
        <f t="shared" si="2"/>
        <v>#DIV/0!</v>
      </c>
      <c r="L25" s="74" t="e">
        <f t="shared" si="3"/>
        <v>#DIV/0!</v>
      </c>
      <c r="M25" s="72" t="e">
        <f t="shared" si="4"/>
        <v>#DIV/0!</v>
      </c>
      <c r="N25" s="75" t="s">
        <v>26</v>
      </c>
      <c r="O25" s="86" t="s">
        <v>64</v>
      </c>
    </row>
    <row r="26" spans="1:15" ht="65" customHeight="1" x14ac:dyDescent="0.2">
      <c r="A26" s="84">
        <v>16</v>
      </c>
      <c r="B26" s="71" t="s">
        <v>39</v>
      </c>
      <c r="C26" s="70">
        <v>2</v>
      </c>
      <c r="D26" s="72">
        <f>E26/C26</f>
        <v>789.98</v>
      </c>
      <c r="E26" s="72">
        <v>1579.96</v>
      </c>
      <c r="F26" s="70">
        <v>2</v>
      </c>
      <c r="G26" s="72">
        <v>789.98</v>
      </c>
      <c r="H26" s="72">
        <f t="shared" ref="H26:H31" si="10">F26*G26</f>
        <v>1579.96</v>
      </c>
      <c r="I26" s="73">
        <v>3</v>
      </c>
      <c r="J26" s="73"/>
      <c r="K26" s="72" t="e">
        <f t="shared" ref="K26:K31" si="11">H26*(1-L26)</f>
        <v>#DIV/0!</v>
      </c>
      <c r="L26" s="74" t="e">
        <f t="shared" ref="L26:L31" si="12">IF((I26/J26)&gt;=0.75,0.75,IF((I26/J26)&gt;=0,(I26/J26),IF((I26/J26)&lt;=0.1,0)))</f>
        <v>#DIV/0!</v>
      </c>
      <c r="M26" s="72" t="e">
        <f t="shared" ref="M26:M31" si="13">H26-K26</f>
        <v>#DIV/0!</v>
      </c>
      <c r="N26" s="75" t="s">
        <v>26</v>
      </c>
      <c r="O26" s="86" t="s">
        <v>68</v>
      </c>
    </row>
    <row r="27" spans="1:15" ht="65" customHeight="1" x14ac:dyDescent="0.2">
      <c r="A27" s="84">
        <v>17</v>
      </c>
      <c r="B27" s="71" t="s">
        <v>40</v>
      </c>
      <c r="C27" s="70">
        <v>1</v>
      </c>
      <c r="D27" s="72">
        <v>75.66</v>
      </c>
      <c r="E27" s="72">
        <f t="shared" ref="E27:E31" si="14">C27*D27</f>
        <v>75.66</v>
      </c>
      <c r="F27" s="70">
        <v>1</v>
      </c>
      <c r="G27" s="72">
        <v>75.66</v>
      </c>
      <c r="H27" s="72">
        <f t="shared" si="10"/>
        <v>75.66</v>
      </c>
      <c r="I27" s="73">
        <v>3</v>
      </c>
      <c r="J27" s="73"/>
      <c r="K27" s="72" t="e">
        <f t="shared" si="11"/>
        <v>#DIV/0!</v>
      </c>
      <c r="L27" s="74" t="e">
        <f t="shared" si="12"/>
        <v>#DIV/0!</v>
      </c>
      <c r="M27" s="72" t="e">
        <f t="shared" si="13"/>
        <v>#DIV/0!</v>
      </c>
      <c r="N27" s="75" t="s">
        <v>26</v>
      </c>
      <c r="O27" s="86" t="s">
        <v>78</v>
      </c>
    </row>
    <row r="28" spans="1:15" ht="65" customHeight="1" x14ac:dyDescent="0.2">
      <c r="A28" s="103">
        <v>18</v>
      </c>
      <c r="B28" s="95" t="s">
        <v>41</v>
      </c>
      <c r="C28" s="96">
        <v>1</v>
      </c>
      <c r="D28" s="97">
        <v>0</v>
      </c>
      <c r="E28" s="97">
        <f t="shared" si="14"/>
        <v>0</v>
      </c>
      <c r="F28" s="98">
        <v>0</v>
      </c>
      <c r="G28" s="97">
        <v>0</v>
      </c>
      <c r="H28" s="97">
        <f t="shared" si="10"/>
        <v>0</v>
      </c>
      <c r="I28" s="98" t="s">
        <v>25</v>
      </c>
      <c r="J28" s="98" t="s">
        <v>25</v>
      </c>
      <c r="K28" s="97">
        <f t="shared" si="11"/>
        <v>0</v>
      </c>
      <c r="L28" s="99">
        <v>0</v>
      </c>
      <c r="M28" s="97">
        <f t="shared" si="13"/>
        <v>0</v>
      </c>
      <c r="N28" s="100" t="s">
        <v>25</v>
      </c>
      <c r="O28" s="101" t="s">
        <v>65</v>
      </c>
    </row>
    <row r="29" spans="1:15" ht="65" customHeight="1" x14ac:dyDescent="0.2">
      <c r="A29" s="103">
        <v>19</v>
      </c>
      <c r="B29" s="95" t="s">
        <v>42</v>
      </c>
      <c r="C29" s="96">
        <v>1</v>
      </c>
      <c r="D29" s="97">
        <v>0</v>
      </c>
      <c r="E29" s="97">
        <f t="shared" si="14"/>
        <v>0</v>
      </c>
      <c r="F29" s="98">
        <v>0</v>
      </c>
      <c r="G29" s="97">
        <v>0</v>
      </c>
      <c r="H29" s="97">
        <f t="shared" si="10"/>
        <v>0</v>
      </c>
      <c r="I29" s="98" t="s">
        <v>25</v>
      </c>
      <c r="J29" s="98" t="s">
        <v>25</v>
      </c>
      <c r="K29" s="97">
        <f t="shared" si="11"/>
        <v>0</v>
      </c>
      <c r="L29" s="99">
        <v>0</v>
      </c>
      <c r="M29" s="97">
        <f t="shared" si="13"/>
        <v>0</v>
      </c>
      <c r="N29" s="100" t="s">
        <v>25</v>
      </c>
      <c r="O29" s="101" t="s">
        <v>65</v>
      </c>
    </row>
    <row r="30" spans="1:15" ht="65" customHeight="1" x14ac:dyDescent="0.2">
      <c r="A30" s="84">
        <v>20</v>
      </c>
      <c r="B30" s="71" t="s">
        <v>43</v>
      </c>
      <c r="C30" s="70">
        <v>1</v>
      </c>
      <c r="D30" s="72">
        <v>182.97</v>
      </c>
      <c r="E30" s="72">
        <f t="shared" si="14"/>
        <v>182.97</v>
      </c>
      <c r="F30" s="70">
        <v>1</v>
      </c>
      <c r="G30" s="72">
        <v>182.97</v>
      </c>
      <c r="H30" s="72">
        <f t="shared" si="10"/>
        <v>182.97</v>
      </c>
      <c r="I30" s="73">
        <v>3</v>
      </c>
      <c r="J30" s="73"/>
      <c r="K30" s="72" t="e">
        <f t="shared" si="11"/>
        <v>#DIV/0!</v>
      </c>
      <c r="L30" s="74" t="e">
        <f t="shared" si="12"/>
        <v>#DIV/0!</v>
      </c>
      <c r="M30" s="72" t="e">
        <f t="shared" si="13"/>
        <v>#DIV/0!</v>
      </c>
      <c r="N30" s="75" t="s">
        <v>26</v>
      </c>
      <c r="O30" s="86" t="s">
        <v>66</v>
      </c>
    </row>
    <row r="31" spans="1:15" ht="65" customHeight="1" x14ac:dyDescent="0.2">
      <c r="A31" s="84">
        <v>21</v>
      </c>
      <c r="B31" s="71" t="s">
        <v>44</v>
      </c>
      <c r="C31" s="70">
        <v>1</v>
      </c>
      <c r="D31" s="72">
        <v>182.97</v>
      </c>
      <c r="E31" s="72">
        <f t="shared" si="14"/>
        <v>182.97</v>
      </c>
      <c r="F31" s="70">
        <v>1</v>
      </c>
      <c r="G31" s="72">
        <v>182.97</v>
      </c>
      <c r="H31" s="72">
        <f t="shared" si="10"/>
        <v>182.97</v>
      </c>
      <c r="I31" s="73">
        <v>3</v>
      </c>
      <c r="J31" s="73"/>
      <c r="K31" s="72" t="e">
        <f t="shared" si="11"/>
        <v>#DIV/0!</v>
      </c>
      <c r="L31" s="74" t="e">
        <f t="shared" si="12"/>
        <v>#DIV/0!</v>
      </c>
      <c r="M31" s="72" t="e">
        <f t="shared" si="13"/>
        <v>#DIV/0!</v>
      </c>
      <c r="N31" s="75" t="s">
        <v>26</v>
      </c>
      <c r="O31" s="86" t="s">
        <v>67</v>
      </c>
    </row>
    <row r="32" spans="1:15" ht="65" customHeight="1" x14ac:dyDescent="0.2">
      <c r="A32" s="103">
        <v>22</v>
      </c>
      <c r="B32" s="95" t="s">
        <v>45</v>
      </c>
      <c r="C32" s="96">
        <v>1</v>
      </c>
      <c r="D32" s="97">
        <v>0</v>
      </c>
      <c r="E32" s="97">
        <f t="shared" si="0"/>
        <v>0</v>
      </c>
      <c r="F32" s="98">
        <v>0</v>
      </c>
      <c r="G32" s="97">
        <v>0</v>
      </c>
      <c r="H32" s="97">
        <f t="shared" si="1"/>
        <v>0</v>
      </c>
      <c r="I32" s="102" t="s">
        <v>25</v>
      </c>
      <c r="J32" s="102" t="s">
        <v>25</v>
      </c>
      <c r="K32" s="97">
        <f t="shared" si="2"/>
        <v>0</v>
      </c>
      <c r="L32" s="99">
        <v>0</v>
      </c>
      <c r="M32" s="97">
        <f t="shared" si="4"/>
        <v>0</v>
      </c>
      <c r="N32" s="100" t="s">
        <v>25</v>
      </c>
      <c r="O32" s="101" t="s">
        <v>65</v>
      </c>
    </row>
    <row r="33" spans="1:15" ht="65" customHeight="1" x14ac:dyDescent="0.2">
      <c r="A33" s="84">
        <v>23</v>
      </c>
      <c r="B33" s="71" t="s">
        <v>46</v>
      </c>
      <c r="C33" s="70">
        <v>3</v>
      </c>
      <c r="D33" s="72">
        <f>E33/C33</f>
        <v>39.903333333333329</v>
      </c>
      <c r="E33" s="72">
        <v>119.71</v>
      </c>
      <c r="F33" s="70">
        <v>3</v>
      </c>
      <c r="G33" s="72">
        <f>H33/F33</f>
        <v>39.903333333333329</v>
      </c>
      <c r="H33" s="72">
        <v>119.71</v>
      </c>
      <c r="I33" s="73">
        <v>0.5</v>
      </c>
      <c r="J33" s="73"/>
      <c r="K33" s="72" t="e">
        <f t="shared" si="2"/>
        <v>#DIV/0!</v>
      </c>
      <c r="L33" s="74" t="e">
        <f t="shared" si="3"/>
        <v>#DIV/0!</v>
      </c>
      <c r="M33" s="72" t="e">
        <f t="shared" si="4"/>
        <v>#DIV/0!</v>
      </c>
      <c r="N33" s="75" t="s">
        <v>26</v>
      </c>
      <c r="O33" s="86" t="s">
        <v>69</v>
      </c>
    </row>
    <row r="34" spans="1:15" ht="65" customHeight="1" x14ac:dyDescent="0.2">
      <c r="A34" s="84">
        <v>24</v>
      </c>
      <c r="B34" s="71" t="s">
        <v>47</v>
      </c>
      <c r="C34" s="70">
        <v>1</v>
      </c>
      <c r="D34" s="72">
        <v>83.7</v>
      </c>
      <c r="E34" s="72">
        <f t="shared" si="0"/>
        <v>83.7</v>
      </c>
      <c r="F34" s="70">
        <v>1</v>
      </c>
      <c r="G34" s="72">
        <v>83.7</v>
      </c>
      <c r="H34" s="72">
        <f t="shared" si="1"/>
        <v>83.7</v>
      </c>
      <c r="I34" s="73">
        <v>0.5</v>
      </c>
      <c r="J34" s="73"/>
      <c r="K34" s="72" t="e">
        <f t="shared" si="2"/>
        <v>#DIV/0!</v>
      </c>
      <c r="L34" s="74" t="e">
        <f t="shared" si="3"/>
        <v>#DIV/0!</v>
      </c>
      <c r="M34" s="72" t="e">
        <f t="shared" si="4"/>
        <v>#DIV/0!</v>
      </c>
      <c r="N34" s="75" t="s">
        <v>26</v>
      </c>
      <c r="O34" s="86" t="s">
        <v>70</v>
      </c>
    </row>
    <row r="35" spans="1:15" ht="65" customHeight="1" x14ac:dyDescent="0.2">
      <c r="A35" s="84">
        <v>25</v>
      </c>
      <c r="B35" s="71" t="s">
        <v>48</v>
      </c>
      <c r="C35" s="70">
        <v>6</v>
      </c>
      <c r="D35" s="72">
        <f>E35/C35</f>
        <v>11.86</v>
      </c>
      <c r="E35" s="72">
        <v>71.16</v>
      </c>
      <c r="F35" s="70">
        <v>6</v>
      </c>
      <c r="G35" s="72">
        <f>H35/F35</f>
        <v>11.86</v>
      </c>
      <c r="H35" s="72">
        <v>71.16</v>
      </c>
      <c r="I35" s="73">
        <v>0.5</v>
      </c>
      <c r="J35" s="73"/>
      <c r="K35" s="72" t="e">
        <f t="shared" si="2"/>
        <v>#DIV/0!</v>
      </c>
      <c r="L35" s="74" t="e">
        <f t="shared" si="3"/>
        <v>#DIV/0!</v>
      </c>
      <c r="M35" s="72" t="e">
        <f t="shared" si="4"/>
        <v>#DIV/0!</v>
      </c>
      <c r="N35" s="75" t="s">
        <v>26</v>
      </c>
      <c r="O35" s="86" t="s">
        <v>71</v>
      </c>
    </row>
    <row r="36" spans="1:15" ht="65" customHeight="1" x14ac:dyDescent="0.2">
      <c r="A36" s="103">
        <v>26</v>
      </c>
      <c r="B36" s="95" t="s">
        <v>49</v>
      </c>
      <c r="C36" s="96">
        <v>1</v>
      </c>
      <c r="D36" s="97">
        <v>0</v>
      </c>
      <c r="E36" s="97">
        <f t="shared" si="0"/>
        <v>0</v>
      </c>
      <c r="F36" s="98">
        <v>0</v>
      </c>
      <c r="G36" s="97">
        <v>0</v>
      </c>
      <c r="H36" s="97">
        <f t="shared" si="1"/>
        <v>0</v>
      </c>
      <c r="I36" s="100" t="s">
        <v>25</v>
      </c>
      <c r="J36" s="100" t="s">
        <v>25</v>
      </c>
      <c r="K36" s="97">
        <f t="shared" si="2"/>
        <v>0</v>
      </c>
      <c r="L36" s="99">
        <v>0</v>
      </c>
      <c r="M36" s="97">
        <f t="shared" si="4"/>
        <v>0</v>
      </c>
      <c r="N36" s="100" t="s">
        <v>25</v>
      </c>
      <c r="O36" s="101" t="s">
        <v>65</v>
      </c>
    </row>
    <row r="37" spans="1:15" ht="65" customHeight="1" x14ac:dyDescent="0.2">
      <c r="A37" s="103">
        <v>27</v>
      </c>
      <c r="B37" s="95" t="s">
        <v>50</v>
      </c>
      <c r="C37" s="96">
        <v>1</v>
      </c>
      <c r="D37" s="97">
        <v>0</v>
      </c>
      <c r="E37" s="97">
        <f t="shared" si="0"/>
        <v>0</v>
      </c>
      <c r="F37" s="98">
        <v>0</v>
      </c>
      <c r="G37" s="97">
        <v>0</v>
      </c>
      <c r="H37" s="97">
        <f t="shared" si="1"/>
        <v>0</v>
      </c>
      <c r="I37" s="100" t="s">
        <v>25</v>
      </c>
      <c r="J37" s="100" t="s">
        <v>25</v>
      </c>
      <c r="K37" s="97">
        <f t="shared" si="2"/>
        <v>0</v>
      </c>
      <c r="L37" s="99">
        <v>0</v>
      </c>
      <c r="M37" s="97">
        <f t="shared" si="4"/>
        <v>0</v>
      </c>
      <c r="N37" s="100" t="s">
        <v>25</v>
      </c>
      <c r="O37" s="101" t="s">
        <v>65</v>
      </c>
    </row>
    <row r="38" spans="1:15" ht="65" customHeight="1" x14ac:dyDescent="0.2">
      <c r="A38" s="84">
        <v>28</v>
      </c>
      <c r="B38" s="71" t="s">
        <v>51</v>
      </c>
      <c r="C38" s="70">
        <v>1</v>
      </c>
      <c r="D38" s="72">
        <v>57.69</v>
      </c>
      <c r="E38" s="72">
        <f t="shared" ref="E38:E39" si="15">C38*D38</f>
        <v>57.69</v>
      </c>
      <c r="F38" s="70">
        <v>1</v>
      </c>
      <c r="G38" s="72">
        <v>57.69</v>
      </c>
      <c r="H38" s="72">
        <f t="shared" ref="H38:H39" si="16">F38*G38</f>
        <v>57.69</v>
      </c>
      <c r="I38" s="73">
        <v>0.5</v>
      </c>
      <c r="J38" s="73"/>
      <c r="K38" s="72" t="e">
        <f t="shared" ref="K38:K41" si="17">H38*(1-L38)</f>
        <v>#DIV/0!</v>
      </c>
      <c r="L38" s="74" t="e">
        <f t="shared" ref="L38:L41" si="18">IF((I38/J38)&gt;=0.75,0.75,IF((I38/J38)&gt;=0,(I38/J38),IF((I38/J38)&lt;=0.1,0)))</f>
        <v>#DIV/0!</v>
      </c>
      <c r="M38" s="72" t="e">
        <f t="shared" ref="M38:M41" si="19">H38-K38</f>
        <v>#DIV/0!</v>
      </c>
      <c r="N38" s="75" t="s">
        <v>26</v>
      </c>
      <c r="O38" s="86" t="s">
        <v>72</v>
      </c>
    </row>
    <row r="39" spans="1:15" ht="65" customHeight="1" x14ac:dyDescent="0.2">
      <c r="A39" s="84">
        <v>29</v>
      </c>
      <c r="B39" s="71" t="s">
        <v>52</v>
      </c>
      <c r="C39" s="70">
        <v>1</v>
      </c>
      <c r="D39" s="72">
        <v>16.23</v>
      </c>
      <c r="E39" s="72">
        <f t="shared" si="15"/>
        <v>16.23</v>
      </c>
      <c r="F39" s="70">
        <v>1</v>
      </c>
      <c r="G39" s="72">
        <v>16.23</v>
      </c>
      <c r="H39" s="72">
        <f t="shared" si="16"/>
        <v>16.23</v>
      </c>
      <c r="I39" s="73">
        <v>0.5</v>
      </c>
      <c r="J39" s="73"/>
      <c r="K39" s="72" t="e">
        <f t="shared" si="17"/>
        <v>#DIV/0!</v>
      </c>
      <c r="L39" s="74" t="e">
        <f t="shared" si="18"/>
        <v>#DIV/0!</v>
      </c>
      <c r="M39" s="72" t="e">
        <f t="shared" si="19"/>
        <v>#DIV/0!</v>
      </c>
      <c r="N39" s="75" t="s">
        <v>26</v>
      </c>
      <c r="O39" s="86" t="s">
        <v>73</v>
      </c>
    </row>
    <row r="40" spans="1:15" ht="65" customHeight="1" x14ac:dyDescent="0.2">
      <c r="A40" s="84">
        <v>30</v>
      </c>
      <c r="B40" s="71" t="s">
        <v>53</v>
      </c>
      <c r="C40" s="70">
        <v>2</v>
      </c>
      <c r="D40" s="72">
        <f>E40/C40</f>
        <v>97.87</v>
      </c>
      <c r="E40" s="72">
        <v>195.74</v>
      </c>
      <c r="F40" s="70">
        <v>2</v>
      </c>
      <c r="G40" s="72">
        <f>H40/F40</f>
        <v>97.87</v>
      </c>
      <c r="H40" s="72">
        <v>195.74</v>
      </c>
      <c r="I40" s="73">
        <v>0.5</v>
      </c>
      <c r="J40" s="73"/>
      <c r="K40" s="72" t="e">
        <f t="shared" si="17"/>
        <v>#DIV/0!</v>
      </c>
      <c r="L40" s="74" t="e">
        <f t="shared" si="18"/>
        <v>#DIV/0!</v>
      </c>
      <c r="M40" s="72" t="e">
        <f t="shared" si="19"/>
        <v>#DIV/0!</v>
      </c>
      <c r="N40" s="75" t="s">
        <v>26</v>
      </c>
      <c r="O40" s="86" t="s">
        <v>74</v>
      </c>
    </row>
    <row r="41" spans="1:15" ht="65" customHeight="1" thickBot="1" x14ac:dyDescent="0.25">
      <c r="A41" s="87">
        <v>31</v>
      </c>
      <c r="B41" s="88" t="s">
        <v>54</v>
      </c>
      <c r="C41" s="89">
        <v>2</v>
      </c>
      <c r="D41" s="90">
        <f>E41/C41</f>
        <v>90.795000000000002</v>
      </c>
      <c r="E41" s="90">
        <v>181.59</v>
      </c>
      <c r="F41" s="89">
        <v>2</v>
      </c>
      <c r="G41" s="90">
        <f>H41/F41</f>
        <v>90.795000000000002</v>
      </c>
      <c r="H41" s="90">
        <v>181.59</v>
      </c>
      <c r="I41" s="91">
        <v>0.5</v>
      </c>
      <c r="J41" s="91"/>
      <c r="K41" s="90" t="e">
        <f t="shared" si="17"/>
        <v>#DIV/0!</v>
      </c>
      <c r="L41" s="92" t="e">
        <f t="shared" si="18"/>
        <v>#DIV/0!</v>
      </c>
      <c r="M41" s="90" t="e">
        <f t="shared" si="19"/>
        <v>#DIV/0!</v>
      </c>
      <c r="N41" s="93" t="s">
        <v>26</v>
      </c>
      <c r="O41" s="94" t="s">
        <v>75</v>
      </c>
    </row>
    <row r="42" spans="1:15" s="4" customFormat="1" ht="18" customHeight="1" thickBot="1" x14ac:dyDescent="0.25">
      <c r="A42" s="61" t="s">
        <v>14</v>
      </c>
      <c r="B42" s="62"/>
      <c r="C42" s="62"/>
      <c r="D42" s="63"/>
      <c r="E42" s="13">
        <f>SUM(E11:E41)</f>
        <v>44745.62000000001</v>
      </c>
      <c r="F42" s="14"/>
      <c r="G42" s="15"/>
      <c r="H42" s="16">
        <f>SUM(H11:H41)</f>
        <v>44745.62000000001</v>
      </c>
      <c r="I42" s="64"/>
      <c r="J42" s="65"/>
      <c r="K42" s="17" t="e">
        <f>SUM(K11:K41)</f>
        <v>#DIV/0!</v>
      </c>
      <c r="L42" s="17"/>
      <c r="M42" s="17" t="e">
        <f>SUM(M11:M41)</f>
        <v>#DIV/0!</v>
      </c>
      <c r="N42"/>
    </row>
    <row r="43" spans="1:15" s="4" customFormat="1" ht="18" customHeight="1" thickBot="1" x14ac:dyDescent="0.25">
      <c r="A43" s="57" t="s">
        <v>15</v>
      </c>
      <c r="B43" s="58"/>
      <c r="C43" s="58"/>
      <c r="D43" s="59"/>
      <c r="E43" s="18">
        <v>0</v>
      </c>
      <c r="F43" s="19"/>
      <c r="G43" s="20"/>
      <c r="H43" s="18">
        <v>0</v>
      </c>
      <c r="I43" s="68"/>
      <c r="J43" s="69"/>
      <c r="K43" s="21">
        <v>0</v>
      </c>
      <c r="L43" s="21"/>
      <c r="M43" s="21">
        <v>0</v>
      </c>
      <c r="N43"/>
    </row>
    <row r="44" spans="1:15" s="4" customFormat="1" ht="18" customHeight="1" thickBot="1" x14ac:dyDescent="0.25">
      <c r="A44" s="57" t="s">
        <v>13</v>
      </c>
      <c r="B44" s="58"/>
      <c r="C44" s="58"/>
      <c r="D44" s="59"/>
      <c r="E44" s="22">
        <f>SUM(E42:E43)</f>
        <v>44745.62000000001</v>
      </c>
      <c r="F44" s="23"/>
      <c r="G44" s="24"/>
      <c r="H44" s="22">
        <f>SUM(H42,H43)</f>
        <v>44745.62000000001</v>
      </c>
      <c r="I44" s="66"/>
      <c r="J44" s="67"/>
      <c r="K44" s="25" t="e">
        <f>SUM(K42:K43)</f>
        <v>#DIV/0!</v>
      </c>
      <c r="L44" s="25"/>
      <c r="M44" s="25" t="e">
        <f>SUM(M42:M43)</f>
        <v>#DIV/0!</v>
      </c>
      <c r="N44"/>
    </row>
    <row r="45" spans="1:15" ht="12.75" customHeight="1" x14ac:dyDescent="0.2">
      <c r="A45" s="60"/>
      <c r="B45" s="6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7" spans="1:15" x14ac:dyDescent="0.2">
      <c r="B47" s="27" t="s">
        <v>16</v>
      </c>
      <c r="C47" s="28"/>
      <c r="D47" s="29"/>
      <c r="E47" s="33">
        <f>E44</f>
        <v>44745.62000000001</v>
      </c>
    </row>
    <row r="48" spans="1:15" x14ac:dyDescent="0.2">
      <c r="B48" s="30"/>
      <c r="C48" s="31"/>
      <c r="D48" s="32"/>
      <c r="E48" s="47"/>
    </row>
    <row r="50" spans="2:12" x14ac:dyDescent="0.2">
      <c r="B50" s="27" t="s">
        <v>17</v>
      </c>
      <c r="C50" s="28"/>
      <c r="D50" s="29"/>
      <c r="E50" s="33">
        <f>H44</f>
        <v>44745.62000000001</v>
      </c>
    </row>
    <row r="51" spans="2:12" x14ac:dyDescent="0.2">
      <c r="B51" s="30"/>
      <c r="C51" s="31"/>
      <c r="D51" s="32"/>
      <c r="E51" s="47"/>
    </row>
    <row r="53" spans="2:12" x14ac:dyDescent="0.2">
      <c r="B53" s="27" t="s">
        <v>18</v>
      </c>
      <c r="C53" s="28"/>
      <c r="D53" s="29"/>
      <c r="E53" s="33" t="e">
        <f>K44</f>
        <v>#DIV/0!</v>
      </c>
    </row>
    <row r="54" spans="2:12" x14ac:dyDescent="0.2">
      <c r="B54" s="30"/>
      <c r="C54" s="31"/>
      <c r="D54" s="32"/>
      <c r="E54" s="47"/>
      <c r="I54" s="7"/>
      <c r="J54" s="7"/>
      <c r="K54" s="7"/>
      <c r="L54" s="7"/>
    </row>
    <row r="55" spans="2:12" x14ac:dyDescent="0.2">
      <c r="I55" s="7"/>
      <c r="J55" s="7"/>
      <c r="K55" s="7"/>
      <c r="L55" s="7"/>
    </row>
    <row r="56" spans="2:12" x14ac:dyDescent="0.2">
      <c r="B56" s="27" t="s">
        <v>19</v>
      </c>
      <c r="C56" s="28"/>
      <c r="D56" s="29"/>
      <c r="E56" s="33" t="e">
        <f>M44</f>
        <v>#DIV/0!</v>
      </c>
    </row>
    <row r="57" spans="2:12" x14ac:dyDescent="0.2">
      <c r="B57" s="30"/>
      <c r="C57" s="31"/>
      <c r="D57" s="32"/>
      <c r="E57" s="34"/>
    </row>
  </sheetData>
  <mergeCells count="32">
    <mergeCell ref="A42:D42"/>
    <mergeCell ref="I42:J42"/>
    <mergeCell ref="A43:D43"/>
    <mergeCell ref="I43:J43"/>
    <mergeCell ref="A44:D44"/>
    <mergeCell ref="I44:J44"/>
    <mergeCell ref="A8:O8"/>
    <mergeCell ref="A9:A10"/>
    <mergeCell ref="B9:B10"/>
    <mergeCell ref="C9:E9"/>
    <mergeCell ref="F9:H9"/>
    <mergeCell ref="I9:I10"/>
    <mergeCell ref="J9:J10"/>
    <mergeCell ref="K9:K10"/>
    <mergeCell ref="L9:L10"/>
    <mergeCell ref="M9:M10"/>
    <mergeCell ref="N9:N10"/>
    <mergeCell ref="O9:O10"/>
    <mergeCell ref="A1:E1"/>
    <mergeCell ref="A2:E2"/>
    <mergeCell ref="A3:E3"/>
    <mergeCell ref="A4:E4"/>
    <mergeCell ref="A5:E5"/>
    <mergeCell ref="E47:E48"/>
    <mergeCell ref="E50:E51"/>
    <mergeCell ref="A45:B45"/>
    <mergeCell ref="B56:D57"/>
    <mergeCell ref="E56:E57"/>
    <mergeCell ref="B47:D48"/>
    <mergeCell ref="B50:D51"/>
    <mergeCell ref="B53:D54"/>
    <mergeCell ref="E53:E54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2025-09-23T03:04:18Z</dcterms:modified>
  <cp:category/>
  <cp:contentStatus/>
</cp:coreProperties>
</file>