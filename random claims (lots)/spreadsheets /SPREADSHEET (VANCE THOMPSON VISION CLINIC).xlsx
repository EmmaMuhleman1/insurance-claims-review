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Vance Thompson Vison Clinic/"/>
    </mc:Choice>
  </mc:AlternateContent>
  <xr:revisionPtr revIDLastSave="0" documentId="13_ncr:1_{7C61A8BE-F00D-8C4C-9A11-90F3FF44E493}" xr6:coauthVersionLast="47" xr6:coauthVersionMax="47" xr10:uidLastSave="{00000000-0000-0000-0000-000000000000}"/>
  <bookViews>
    <workbookView xWindow="6820" yWindow="178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1" i="1" l="1"/>
  <c r="E28" i="1"/>
  <c r="E25" i="1"/>
  <c r="E22" i="1"/>
  <c r="E14" i="1"/>
  <c r="H11" i="1"/>
  <c r="L11" i="1"/>
  <c r="L14" i="1"/>
  <c r="L15" i="1"/>
  <c r="E13" i="1"/>
  <c r="H13" i="1"/>
  <c r="H14" i="1"/>
  <c r="E15" i="1"/>
  <c r="H15" i="1"/>
  <c r="E16" i="1"/>
  <c r="H16" i="1"/>
  <c r="E11" i="1"/>
  <c r="K16" i="1" l="1"/>
  <c r="M16" i="1" s="1"/>
  <c r="K14" i="1"/>
  <c r="M14" i="1" s="1"/>
  <c r="K13" i="1"/>
  <c r="M13" i="1" s="1"/>
  <c r="K15" i="1"/>
  <c r="M15" i="1" s="1"/>
  <c r="K11" i="1"/>
  <c r="E12" i="1" l="1"/>
  <c r="E17" i="1" s="1"/>
  <c r="H12" i="1"/>
  <c r="K12" i="1" s="1"/>
  <c r="E19" i="1" l="1"/>
  <c r="M12" i="1"/>
  <c r="H17" i="1" l="1"/>
  <c r="H19" i="1" s="1"/>
  <c r="K17" i="1"/>
  <c r="K19" i="1" s="1"/>
  <c r="M11" i="1" l="1"/>
  <c r="M17" i="1" s="1"/>
  <c r="M19" i="1" s="1"/>
</calcChain>
</file>

<file path=xl/sharedStrings.xml><?xml version="1.0" encoding="utf-8"?>
<sst xmlns="http://schemas.openxmlformats.org/spreadsheetml/2006/main" count="54" uniqueCount="40">
  <si>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</si>
  <si>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</si>
  <si>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</si>
  <si>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</si>
  <si>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</si>
  <si>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</si>
  <si>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</si>
  <si>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</si>
  <si>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</si>
  <si>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</si>
  <si>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</si>
  <si>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</si>
  <si>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</si>
  <si>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</si>
  <si>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</si>
  <si>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</si>
  <si>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</si>
  <si>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</si>
  <si>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</si>
  <si>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</si>
  <si>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VANCE THOMPSON VISION CLINIC</t>
  </si>
  <si>
    <t xml:space="preserve">LSG MATTER #: 787200.12542-00 </t>
  </si>
  <si>
    <t>CLAIM #: FME2589</t>
  </si>
  <si>
    <t>DATE OF LOSS: 6/27/2025</t>
  </si>
  <si>
    <t>CAUSE OF LOSS: FIRE</t>
  </si>
  <si>
    <t>TW ENTERPRISES (406-245-4600) INVOICE # CD99011766</t>
  </si>
  <si>
    <t>MATERIALS: ASCO RELAY</t>
  </si>
  <si>
    <t>STANDARD LABOR</t>
  </si>
  <si>
    <t>LABOR AT $165/HOUR FOR 10.75 HOURS</t>
  </si>
  <si>
    <t>SHOP SUPPLIES</t>
  </si>
  <si>
    <t>SHOP SUPPLIES: PPE, WIRE CONNECTORS, WIRE, ELECTRICAL TAPE, ETC.</t>
  </si>
  <si>
    <t>CTTS-400A 4-POLE</t>
  </si>
  <si>
    <t>ASSY PCB CLOSED TRANS XFER</t>
  </si>
  <si>
    <t>FREIGHT CHARGE</t>
  </si>
  <si>
    <t>N/A</t>
  </si>
  <si>
    <t>AVERAGE</t>
  </si>
  <si>
    <t>PRINTED CONTROLLER BOARD (PCB) FOR TRANSFER XFER (GENERAC)</t>
  </si>
  <si>
    <t>GENERAC ELECTRICAL SWITCH OR RELAY.</t>
  </si>
  <si>
    <t>400 AMP, 4 POLE AUTOMATIC TRANSFER SWITCH</t>
  </si>
  <si>
    <t xml:space="preserve">SHIPPING AND FREIGHT CHARGES.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</si>
</sst>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topLeftCell="A11" zoomScale="80" zoomScaleNormal="80" zoomScalePageLayoutView="90" workbookViewId="0">
      <selection activeCell="A28" sqref="A28:XFD32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7.83203125" style="4" customWidth="1"/>
    <col min="4" max="5" width="17.6640625" style="4" customWidth="1"/>
    <col min="6" max="6" width="8.33203125" style="4" customWidth="1"/>
    <col min="7" max="8" width="17.6640625" style="4" customWidth="1"/>
    <col min="9" max="10" width="9.664062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58" t="s">
        <v>20</v>
      </c>
      <c r="B1" s="59"/>
      <c r="C1" s="59"/>
      <c r="D1" s="59"/>
      <c r="E1" s="6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1" t="s">
        <v>21</v>
      </c>
      <c r="B2" s="62"/>
      <c r="C2" s="62"/>
      <c r="D2" s="62"/>
      <c r="E2" s="6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1" t="s">
        <v>22</v>
      </c>
      <c r="B3" s="62"/>
      <c r="C3" s="62"/>
      <c r="D3" s="62"/>
      <c r="E3" s="6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61" t="s">
        <v>23</v>
      </c>
      <c r="B4" s="62"/>
      <c r="C4" s="62"/>
      <c r="D4" s="62"/>
      <c r="E4" s="6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64" t="s">
        <v>24</v>
      </c>
      <c r="B5" s="65"/>
      <c r="C5" s="65"/>
      <c r="D5" s="65"/>
      <c r="E5" s="66"/>
      <c r="F5" s="1"/>
      <c r="G5"/>
      <c r="H5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45" t="s">
        <v>25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7"/>
    </row>
    <row r="9" spans="1:18" ht="24" customHeight="1" x14ac:dyDescent="0.2">
      <c r="A9" s="48" t="s">
        <v>0</v>
      </c>
      <c r="B9" s="50" t="s">
        <v>1</v>
      </c>
      <c r="C9" s="52" t="s">
        <v>2</v>
      </c>
      <c r="D9" s="53"/>
      <c r="E9" s="54"/>
      <c r="F9" s="52" t="s">
        <v>3</v>
      </c>
      <c r="G9" s="53"/>
      <c r="H9" s="54"/>
      <c r="I9" s="55" t="s">
        <v>4</v>
      </c>
      <c r="J9" s="55" t="s">
        <v>5</v>
      </c>
      <c r="K9" s="55" t="s">
        <v>6</v>
      </c>
      <c r="L9" s="55" t="s">
        <v>7</v>
      </c>
      <c r="M9" s="55" t="s">
        <v>8</v>
      </c>
      <c r="N9" s="55" t="s">
        <v>9</v>
      </c>
      <c r="O9" s="48" t="s">
        <v>10</v>
      </c>
    </row>
    <row r="10" spans="1:18" s="4" customFormat="1" ht="24" customHeight="1" thickBot="1" x14ac:dyDescent="0.25">
      <c r="A10" s="49"/>
      <c r="B10" s="5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56"/>
      <c r="J10" s="56"/>
      <c r="K10" s="56"/>
      <c r="L10" s="56"/>
      <c r="M10" s="56"/>
      <c r="N10" s="56"/>
      <c r="O10" s="49"/>
    </row>
    <row r="11" spans="1:18" s="4" customFormat="1" ht="65" customHeight="1" x14ac:dyDescent="0.2">
      <c r="A11" s="80">
        <v>1</v>
      </c>
      <c r="B11" s="81" t="s">
        <v>26</v>
      </c>
      <c r="C11" s="82">
        <v>1</v>
      </c>
      <c r="D11" s="83">
        <v>31.29</v>
      </c>
      <c r="E11" s="83">
        <f>C11*D11</f>
        <v>31.29</v>
      </c>
      <c r="F11" s="82">
        <v>1</v>
      </c>
      <c r="G11" s="83">
        <v>31.29</v>
      </c>
      <c r="H11" s="83">
        <f>F11*G11</f>
        <v>31.29</v>
      </c>
      <c r="I11" s="84">
        <v>6</v>
      </c>
      <c r="J11" s="84">
        <v>20</v>
      </c>
      <c r="K11" s="83">
        <f>H11*(1-L11)</f>
        <v>21.902999999999999</v>
      </c>
      <c r="L11" s="85">
        <f>IF((I11/J11)&gt;=0.75,0.75,IF((I11/J11)&gt;=0,(I11/J11),IF((I11/J11)&lt;=1,0)))</f>
        <v>0.3</v>
      </c>
      <c r="M11" s="83">
        <f>H11-K11</f>
        <v>9.3870000000000005</v>
      </c>
      <c r="N11" s="86" t="s">
        <v>35</v>
      </c>
      <c r="O11" s="87" t="s">
        <v>37</v>
      </c>
      <c r="R11" s="36"/>
    </row>
    <row r="12" spans="1:18" s="4" customFormat="1" ht="65" customHeight="1" x14ac:dyDescent="0.2">
      <c r="A12" s="88">
        <v>2</v>
      </c>
      <c r="B12" s="13" t="s">
        <v>27</v>
      </c>
      <c r="C12" s="14">
        <v>10.75</v>
      </c>
      <c r="D12" s="15">
        <v>165</v>
      </c>
      <c r="E12" s="15">
        <f t="shared" ref="E12:E16" si="0">C12*D12</f>
        <v>1773.75</v>
      </c>
      <c r="F12" s="14">
        <v>10.75</v>
      </c>
      <c r="G12" s="15">
        <v>165</v>
      </c>
      <c r="H12" s="15">
        <f t="shared" ref="H12" si="1">F12*G12</f>
        <v>1773.75</v>
      </c>
      <c r="I12" s="16" t="s">
        <v>34</v>
      </c>
      <c r="J12" s="16" t="s">
        <v>34</v>
      </c>
      <c r="K12" s="17">
        <f t="shared" ref="K12:K16" si="2">H12*(1-L12)</f>
        <v>1773.75</v>
      </c>
      <c r="L12" s="18">
        <v>0</v>
      </c>
      <c r="M12" s="17">
        <f t="shared" ref="M12:M16" si="3">H12-K12</f>
        <v>0</v>
      </c>
      <c r="N12" s="19" t="s">
        <v>34</v>
      </c>
      <c r="O12" s="89" t="s">
        <v>28</v>
      </c>
    </row>
    <row r="13" spans="1:18" s="4" customFormat="1" ht="65" customHeight="1" x14ac:dyDescent="0.2">
      <c r="A13" s="90">
        <v>3</v>
      </c>
      <c r="B13" s="20" t="s">
        <v>29</v>
      </c>
      <c r="C13" s="14">
        <v>1</v>
      </c>
      <c r="D13" s="17">
        <v>15</v>
      </c>
      <c r="E13" s="17">
        <f t="shared" si="0"/>
        <v>15</v>
      </c>
      <c r="F13" s="14">
        <v>1</v>
      </c>
      <c r="G13" s="17">
        <v>15</v>
      </c>
      <c r="H13" s="17">
        <f>F13*G13</f>
        <v>15</v>
      </c>
      <c r="I13" s="21" t="s">
        <v>34</v>
      </c>
      <c r="J13" s="21" t="s">
        <v>34</v>
      </c>
      <c r="K13" s="17">
        <f t="shared" si="2"/>
        <v>15</v>
      </c>
      <c r="L13" s="18">
        <v>0</v>
      </c>
      <c r="M13" s="17">
        <f t="shared" si="3"/>
        <v>0</v>
      </c>
      <c r="N13" s="22" t="s">
        <v>34</v>
      </c>
      <c r="O13" s="91" t="s">
        <v>30</v>
      </c>
    </row>
    <row r="14" spans="1:18" s="4" customFormat="1" ht="65" customHeight="1" x14ac:dyDescent="0.2">
      <c r="A14" s="88">
        <v>4</v>
      </c>
      <c r="B14" s="13" t="s">
        <v>31</v>
      </c>
      <c r="C14" s="14">
        <v>1</v>
      </c>
      <c r="D14" s="15">
        <v>4339</v>
      </c>
      <c r="E14" s="15">
        <f t="shared" si="0"/>
        <v>4339</v>
      </c>
      <c r="F14" s="14">
        <v>1</v>
      </c>
      <c r="G14" s="15">
        <v>4339</v>
      </c>
      <c r="H14" s="15">
        <f t="shared" ref="H14" si="4">F14*G14</f>
        <v>4339</v>
      </c>
      <c r="I14" s="16">
        <v>6</v>
      </c>
      <c r="J14" s="16">
        <v>20</v>
      </c>
      <c r="K14" s="17">
        <f t="shared" si="2"/>
        <v>3037.2999999999997</v>
      </c>
      <c r="L14" s="18">
        <f t="shared" ref="L12:L16" si="5">IF((I14/J14)&gt;=0.75,0.75,IF((I14/J14)&gt;=0.1,(I14/J14),IF((I14/J14)&lt;=0.1,0.1)))</f>
        <v>0.3</v>
      </c>
      <c r="M14" s="17">
        <f t="shared" si="3"/>
        <v>1301.7000000000003</v>
      </c>
      <c r="N14" s="19" t="s">
        <v>35</v>
      </c>
      <c r="O14" s="89" t="s">
        <v>38</v>
      </c>
    </row>
    <row r="15" spans="1:18" s="4" customFormat="1" ht="65" customHeight="1" x14ac:dyDescent="0.2">
      <c r="A15" s="90">
        <v>5</v>
      </c>
      <c r="B15" s="20" t="s">
        <v>32</v>
      </c>
      <c r="C15" s="14">
        <v>1</v>
      </c>
      <c r="D15" s="17">
        <v>609</v>
      </c>
      <c r="E15" s="17">
        <f t="shared" si="0"/>
        <v>609</v>
      </c>
      <c r="F15" s="14">
        <v>1</v>
      </c>
      <c r="G15" s="17">
        <v>609</v>
      </c>
      <c r="H15" s="17">
        <f>F15*G15</f>
        <v>609</v>
      </c>
      <c r="I15" s="21">
        <v>6</v>
      </c>
      <c r="J15" s="21">
        <v>20</v>
      </c>
      <c r="K15" s="17">
        <f t="shared" si="2"/>
        <v>426.29999999999995</v>
      </c>
      <c r="L15" s="18">
        <f t="shared" si="5"/>
        <v>0.3</v>
      </c>
      <c r="M15" s="17">
        <f t="shared" si="3"/>
        <v>182.70000000000005</v>
      </c>
      <c r="N15" s="22" t="s">
        <v>35</v>
      </c>
      <c r="O15" s="91" t="s">
        <v>36</v>
      </c>
    </row>
    <row r="16" spans="1:18" s="4" customFormat="1" ht="65" customHeight="1" thickBot="1" x14ac:dyDescent="0.25">
      <c r="A16" s="92">
        <v>6</v>
      </c>
      <c r="B16" s="93" t="s">
        <v>33</v>
      </c>
      <c r="C16" s="94">
        <v>1</v>
      </c>
      <c r="D16" s="95">
        <v>125</v>
      </c>
      <c r="E16" s="95">
        <f t="shared" si="0"/>
        <v>125</v>
      </c>
      <c r="F16" s="94">
        <v>1</v>
      </c>
      <c r="G16" s="95">
        <v>125</v>
      </c>
      <c r="H16" s="95">
        <f t="shared" ref="H16" si="6">F16*G16</f>
        <v>125</v>
      </c>
      <c r="I16" s="96" t="s">
        <v>34</v>
      </c>
      <c r="J16" s="96" t="s">
        <v>34</v>
      </c>
      <c r="K16" s="97">
        <f t="shared" si="2"/>
        <v>125</v>
      </c>
      <c r="L16" s="98">
        <v>0</v>
      </c>
      <c r="M16" s="97">
        <f t="shared" si="3"/>
        <v>0</v>
      </c>
      <c r="N16" s="99" t="s">
        <v>34</v>
      </c>
      <c r="O16" s="100" t="s">
        <v>39</v>
      </c>
    </row>
    <row r="17" spans="1:14" s="4" customFormat="1" ht="18" customHeight="1" thickBot="1" x14ac:dyDescent="0.25">
      <c r="A17" s="71" t="s">
        <v>14</v>
      </c>
      <c r="B17" s="72"/>
      <c r="C17" s="72"/>
      <c r="D17" s="73"/>
      <c r="E17" s="23">
        <f>SUM(E11:E16)</f>
        <v>6893.04</v>
      </c>
      <c r="F17" s="24"/>
      <c r="G17" s="25"/>
      <c r="H17" s="26">
        <f>SUM(H11:H16)</f>
        <v>6893.04</v>
      </c>
      <c r="I17" s="74"/>
      <c r="J17" s="75"/>
      <c r="K17" s="27">
        <f>SUM(K11:K16)</f>
        <v>5399.2529999999997</v>
      </c>
      <c r="L17" s="27"/>
      <c r="M17" s="27">
        <f>SUM(M11:M16)</f>
        <v>1493.7870000000003</v>
      </c>
      <c r="N17"/>
    </row>
    <row r="18" spans="1:14" s="4" customFormat="1" ht="18" customHeight="1" x14ac:dyDescent="0.2">
      <c r="A18" s="67" t="s">
        <v>15</v>
      </c>
      <c r="B18" s="68"/>
      <c r="C18" s="68"/>
      <c r="D18" s="69"/>
      <c r="E18" s="28">
        <v>0</v>
      </c>
      <c r="F18" s="29"/>
      <c r="G18" s="30"/>
      <c r="H18" s="28">
        <v>0</v>
      </c>
      <c r="I18" s="78"/>
      <c r="J18" s="79"/>
      <c r="K18" s="31">
        <v>0</v>
      </c>
      <c r="L18" s="31"/>
      <c r="M18" s="31">
        <v>0</v>
      </c>
      <c r="N18"/>
    </row>
    <row r="19" spans="1:14" s="4" customFormat="1" ht="18" customHeight="1" thickBot="1" x14ac:dyDescent="0.25">
      <c r="A19" s="67" t="s">
        <v>13</v>
      </c>
      <c r="B19" s="68"/>
      <c r="C19" s="68"/>
      <c r="D19" s="69"/>
      <c r="E19" s="32">
        <f>SUM(E17:E18)</f>
        <v>6893.04</v>
      </c>
      <c r="F19" s="33"/>
      <c r="G19" s="34"/>
      <c r="H19" s="32">
        <f>SUM(H17,H18)</f>
        <v>6893.04</v>
      </c>
      <c r="I19" s="76"/>
      <c r="J19" s="77"/>
      <c r="K19" s="35">
        <f>SUM(K17:K18)</f>
        <v>5399.2529999999997</v>
      </c>
      <c r="L19" s="35"/>
      <c r="M19" s="35">
        <f>SUM(M17:M18)</f>
        <v>1493.7870000000003</v>
      </c>
      <c r="N19"/>
    </row>
    <row r="20" spans="1:14" ht="12.75" customHeight="1" x14ac:dyDescent="0.2">
      <c r="A20" s="70"/>
      <c r="B20" s="7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2" spans="1:14" x14ac:dyDescent="0.2">
      <c r="B22" s="37" t="s">
        <v>16</v>
      </c>
      <c r="C22" s="38"/>
      <c r="D22" s="39"/>
      <c r="E22" s="43">
        <f>E19</f>
        <v>6893.04</v>
      </c>
    </row>
    <row r="23" spans="1:14" x14ac:dyDescent="0.2">
      <c r="B23" s="40"/>
      <c r="C23" s="41"/>
      <c r="D23" s="42"/>
      <c r="E23" s="57"/>
    </row>
    <row r="25" spans="1:14" x14ac:dyDescent="0.2">
      <c r="B25" s="37" t="s">
        <v>17</v>
      </c>
      <c r="C25" s="38"/>
      <c r="D25" s="39"/>
      <c r="E25" s="43">
        <f>H19</f>
        <v>6893.04</v>
      </c>
    </row>
    <row r="26" spans="1:14" x14ac:dyDescent="0.2">
      <c r="B26" s="40"/>
      <c r="C26" s="41"/>
      <c r="D26" s="42"/>
      <c r="E26" s="57"/>
    </row>
    <row r="28" spans="1:14" hidden="1" x14ac:dyDescent="0.2">
      <c r="B28" s="37" t="s">
        <v>18</v>
      </c>
      <c r="C28" s="38"/>
      <c r="D28" s="39"/>
      <c r="E28" s="43">
        <f>K19</f>
        <v>5399.2529999999997</v>
      </c>
    </row>
    <row r="29" spans="1:14" hidden="1" x14ac:dyDescent="0.2">
      <c r="B29" s="40"/>
      <c r="C29" s="41"/>
      <c r="D29" s="42"/>
      <c r="E29" s="57"/>
      <c r="I29" s="7"/>
      <c r="J29" s="7"/>
      <c r="K29" s="7"/>
      <c r="L29" s="7"/>
    </row>
    <row r="30" spans="1:14" hidden="1" x14ac:dyDescent="0.2">
      <c r="I30" s="7"/>
      <c r="J30" s="7"/>
      <c r="K30" s="7"/>
      <c r="L30" s="7"/>
    </row>
    <row r="31" spans="1:14" hidden="1" x14ac:dyDescent="0.2">
      <c r="B31" s="37" t="s">
        <v>19</v>
      </c>
      <c r="C31" s="38"/>
      <c r="D31" s="39"/>
      <c r="E31" s="43">
        <f>M19</f>
        <v>1493.7870000000003</v>
      </c>
    </row>
    <row r="32" spans="1:14" hidden="1" x14ac:dyDescent="0.2">
      <c r="B32" s="40"/>
      <c r="C32" s="41"/>
      <c r="D32" s="42"/>
      <c r="E32" s="44"/>
    </row>
  </sheetData>
  <mergeCells count="32">
    <mergeCell ref="A18:D18"/>
    <mergeCell ref="I18:J18"/>
    <mergeCell ref="A19:D19"/>
    <mergeCell ref="I19:J19"/>
    <mergeCell ref="A20:B20"/>
    <mergeCell ref="F9:H9"/>
    <mergeCell ref="A9:A10"/>
    <mergeCell ref="A8:O8"/>
    <mergeCell ref="C9:E9"/>
    <mergeCell ref="B9:B10"/>
    <mergeCell ref="A17:D17"/>
    <mergeCell ref="I17:J17"/>
    <mergeCell ref="L9:L10"/>
    <mergeCell ref="O9:O10"/>
    <mergeCell ref="I9:I10"/>
    <mergeCell ref="J9:J10"/>
    <mergeCell ref="K9:K10"/>
    <mergeCell ref="M9:M10"/>
    <mergeCell ref="N9:N10"/>
    <mergeCell ref="B28:D29"/>
    <mergeCell ref="E28:E29"/>
    <mergeCell ref="A1:E1"/>
    <mergeCell ref="A2:E2"/>
    <mergeCell ref="A3:E3"/>
    <mergeCell ref="A4:E4"/>
    <mergeCell ref="A5:E5"/>
    <mergeCell ref="E22:E23"/>
    <mergeCell ref="E25:E26"/>
    <mergeCell ref="B31:D32"/>
    <mergeCell ref="E31:E32"/>
    <mergeCell ref="B22:D23"/>
    <mergeCell ref="B25:D26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2025-10-09T14:45:08Z</dcterms:modified>
  <cp:category/>
  <cp:contentStatus/>
</cp:coreProperties>
</file>