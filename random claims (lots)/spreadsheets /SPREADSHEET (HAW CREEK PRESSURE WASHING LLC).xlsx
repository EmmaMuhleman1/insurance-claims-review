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Haw Creek Pressure Washing LLC/"/>
    </mc:Choice>
  </mc:AlternateContent>
  <xr:revisionPtr revIDLastSave="0" documentId="13_ncr:1_{2C98CCE1-4C69-B84A-8F76-DB88D0C53FA9}" xr6:coauthVersionLast="47" xr6:coauthVersionMax="47" xr10:uidLastSave="{00000000-0000-0000-0000-000000000000}"/>
  <bookViews>
    <workbookView xWindow="5120" yWindow="2540" windowWidth="2880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1" i="1" l="1"/>
  <c r="L11" i="1"/>
  <c r="E11" i="1"/>
  <c r="K11" i="1" l="1"/>
  <c r="E12" i="1" l="1"/>
  <c r="E14" i="1" s="1"/>
  <c r="E17" i="1" s="1"/>
  <c r="H12" i="1" l="1"/>
  <c r="H14" i="1" s="1"/>
  <c r="E20" i="1" s="1"/>
  <c r="K12" i="1"/>
  <c r="K14" i="1" s="1"/>
  <c r="E23" i="1" s="1"/>
  <c r="M11" i="1" l="1"/>
  <c r="M12" i="1" s="1"/>
  <c r="M14" i="1" s="1"/>
  <c r="E26" i="1" s="1"/>
</calcChain>
</file>

<file path=xl/sharedStrings.xml><?xml version="1.0" encoding="utf-8"?>
<sst xmlns="http://schemas.openxmlformats.org/spreadsheetml/2006/main" count="33" uniqueCount="29">
  <si>
    <t>REF #</t>
  </si>
  <si>
    <t>ITEM</t>
  </si>
  <si>
    <t>CLAIM PRESENTED</t>
  </si>
  <si>
    <t>LSG RESEARCHED RCV</t>
  </si>
  <si>
    <t>AGE (YEARS)</t>
  </si>
  <si>
    <t>USEFUL LIFE (YEARS)</t>
  </si>
  <si>
    <t>ACV (MAX DEPRECIATION 75%)</t>
  </si>
  <si>
    <t>DEPRECIATION%</t>
  </si>
  <si>
    <t>DEPRECIATION</t>
  </si>
  <si>
    <t>CONDITION</t>
  </si>
  <si>
    <t>NOTES</t>
  </si>
  <si>
    <t>QTY</t>
  </si>
  <si>
    <t>UNIT COST</t>
  </si>
  <si>
    <t>TOTAL</t>
  </si>
  <si>
    <t>SUB-TOTAL</t>
  </si>
  <si>
    <t>TOTAL PRESENTED</t>
  </si>
  <si>
    <t>TOTAL RESEARCHED RCV</t>
  </si>
  <si>
    <t>TOTAL ACV</t>
  </si>
  <si>
    <t>TOTAL DEPRECIATION</t>
  </si>
  <si>
    <t>INSURED: HAW CREEK PRESSURE WASHING LLC</t>
  </si>
  <si>
    <t xml:space="preserve">LSG MATTER #: 426600.4053-00 </t>
  </si>
  <si>
    <t>CLAIM #: 85-00843995</t>
  </si>
  <si>
    <t>DATE OF LOSS: 7/30/2025</t>
  </si>
  <si>
    <t>CAUSE OF LOSS: VANDALISM / THEFT</t>
  </si>
  <si>
    <t>CLEAN SOLUTIONS &amp; EQUIPMENT, LLC. (314-614-2228) QUOTE DATED ON SEPTEMBER 18, 2025 FOR HAW CREEK</t>
  </si>
  <si>
    <t>SALES TAX (6.725%)</t>
  </si>
  <si>
    <t>AVERAGE</t>
  </si>
  <si>
    <t>ALKOTA STATIONARY PRESSURE WASHERS WITH BATTERIES</t>
  </si>
  <si>
    <t>TWO (2) ALKOTA MODEL 5355 ENS STATIONARY PRESSURE WASHERS WITH 12 VOLT 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</si>
</sst>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9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</cellStyleXfs>
  <cellXfs count="78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44" fontId="6" fillId="2" borderId="13" xfId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/>
    <xf numFmtId="0" fontId="6" fillId="2" borderId="2" xfId="1" applyNumberFormat="1" applyFont="1" applyFill="1" applyBorder="1" applyAlignment="1"/>
    <xf numFmtId="44" fontId="6" fillId="2" borderId="13" xfId="1" applyFont="1" applyFill="1" applyBorder="1" applyAlignment="1"/>
    <xf numFmtId="44" fontId="6" fillId="2" borderId="13" xfId="1" applyFont="1" applyFill="1" applyBorder="1" applyAlignment="1">
      <alignment horizontal="right"/>
    </xf>
    <xf numFmtId="44" fontId="7" fillId="2" borderId="15" xfId="1" applyFont="1" applyFill="1" applyBorder="1" applyAlignment="1"/>
    <xf numFmtId="44" fontId="7" fillId="2" borderId="7" xfId="1" applyFont="1" applyFill="1" applyBorder="1" applyAlignment="1"/>
    <xf numFmtId="44" fontId="7" fillId="2" borderId="9" xfId="1" applyFont="1" applyFill="1" applyBorder="1" applyAlignment="1"/>
    <xf numFmtId="44" fontId="7" fillId="0" borderId="15" xfId="1" applyFont="1" applyFill="1" applyBorder="1" applyAlignment="1">
      <alignment horizontal="right"/>
    </xf>
    <xf numFmtId="44" fontId="6" fillId="2" borderId="15" xfId="1" applyFont="1" applyFill="1" applyBorder="1" applyAlignment="1"/>
    <xf numFmtId="44" fontId="6" fillId="2" borderId="7" xfId="1" applyFont="1" applyFill="1" applyBorder="1" applyAlignment="1"/>
    <xf numFmtId="44" fontId="6" fillId="2" borderId="9" xfId="1" applyFont="1" applyFill="1" applyBorder="1" applyAlignment="1"/>
    <xf numFmtId="44" fontId="6" fillId="2" borderId="15" xfId="1" applyFont="1" applyFill="1" applyBorder="1" applyAlignment="1">
      <alignment horizontal="right"/>
    </xf>
    <xf numFmtId="44" fontId="7" fillId="0" borderId="0" xfId="0" applyNumberFormat="1" applyFont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4" fontId="6" fillId="0" borderId="12" xfId="0" applyNumberFormat="1" applyFont="1" applyBorder="1" applyAlignment="1">
      <alignment horizontal="center" vertical="center"/>
    </xf>
    <xf numFmtId="44" fontId="6" fillId="0" borderId="13" xfId="0" applyNumberFormat="1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 vertical="center" wrapText="1"/>
    </xf>
    <xf numFmtId="164" fontId="6" fillId="3" borderId="14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6" fillId="2" borderId="1" xfId="1" applyNumberFormat="1" applyFont="1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center"/>
    </xf>
    <xf numFmtId="0" fontId="6" fillId="2" borderId="7" xfId="1" applyNumberFormat="1" applyFont="1" applyFill="1" applyBorder="1" applyAlignment="1">
      <alignment horizontal="center"/>
    </xf>
    <xf numFmtId="0" fontId="6" fillId="2" borderId="9" xfId="1" applyNumberFormat="1" applyFont="1" applyFill="1" applyBorder="1" applyAlignment="1">
      <alignment horizontal="center"/>
    </xf>
    <xf numFmtId="0" fontId="7" fillId="2" borderId="7" xfId="1" applyNumberFormat="1" applyFont="1" applyFill="1" applyBorder="1" applyAlignment="1">
      <alignment horizontal="center"/>
    </xf>
    <xf numFmtId="0" fontId="7" fillId="2" borderId="9" xfId="1" applyNumberFormat="1" applyFont="1" applyFill="1" applyBorder="1" applyAlignment="1">
      <alignment horizont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left" wrapText="1"/>
    </xf>
    <xf numFmtId="0" fontId="7" fillId="2" borderId="17" xfId="0" applyFont="1" applyFill="1" applyBorder="1" applyAlignment="1">
      <alignment horizontal="center"/>
    </xf>
    <xf numFmtId="44" fontId="7" fillId="2" borderId="17" xfId="1" applyFont="1" applyFill="1" applyBorder="1" applyAlignment="1">
      <alignment horizontal="center"/>
    </xf>
    <xf numFmtId="0" fontId="7" fillId="2" borderId="17" xfId="1" applyNumberFormat="1" applyFont="1" applyFill="1" applyBorder="1" applyAlignment="1">
      <alignment horizontal="center"/>
    </xf>
    <xf numFmtId="9" fontId="7" fillId="2" borderId="17" xfId="6" applyFont="1" applyFill="1" applyBorder="1" applyAlignment="1">
      <alignment horizontal="center"/>
    </xf>
    <xf numFmtId="0" fontId="7" fillId="2" borderId="17" xfId="1" applyNumberFormat="1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left" wrapText="1"/>
    </xf>
  </cellXfs>
  <cellStyles count="7">
    <cellStyle name="Currency" xfId="1" builtinId="4"/>
    <cellStyle name="Followed Hyperlink" xfId="3" builtinId="9" hidden="1"/>
    <cellStyle name="Followed Hyperlink" xfId="5" builtinId="9" hidden="1"/>
    <cellStyle name="Hyperlink" xfId="2" builtinId="8" hidden="1"/>
    <cellStyle name="Hyperlink" xfId="4" builtinId="8" hidden="1"/>
    <cellStyle name="Normal" xfId="0" builtinId="0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7"/>
  <sheetViews>
    <sheetView tabSelected="1" zoomScale="80" zoomScaleNormal="80" zoomScalePageLayoutView="90" workbookViewId="0">
      <selection activeCell="O21" sqref="O21"/>
    </sheetView>
  </sheetViews>
  <sheetFormatPr baseColWidth="10" defaultColWidth="8.83203125" defaultRowHeight="16" x14ac:dyDescent="0.2"/>
  <cols>
    <col min="1" max="1" width="5.6640625" style="3" customWidth="1"/>
    <col min="2" max="2" width="20.6640625" style="3" customWidth="1"/>
    <col min="3" max="3" width="5.6640625" style="4" customWidth="1"/>
    <col min="4" max="5" width="17.6640625" style="4" customWidth="1"/>
    <col min="6" max="6" width="5.6640625" style="4" customWidth="1"/>
    <col min="7" max="8" width="17.6640625" style="4" customWidth="1"/>
    <col min="9" max="10" width="9.6640625" style="4" customWidth="1"/>
    <col min="11" max="13" width="17.6640625" style="4" customWidth="1"/>
    <col min="14" max="14" width="13.6640625" style="4" customWidth="1"/>
    <col min="15" max="15" width="47.6640625" style="8" customWidth="1"/>
    <col min="16" max="17" width="8.83203125" style="3"/>
    <col min="18" max="18" width="9.6640625" style="3" bestFit="1" customWidth="1"/>
    <col min="19" max="16384" width="8.83203125" style="3"/>
  </cols>
  <sheetData>
    <row r="1" spans="1:18" ht="15.75" customHeight="1" x14ac:dyDescent="0.2">
      <c r="A1" s="48" t="s">
        <v>19</v>
      </c>
      <c r="B1" s="49"/>
      <c r="C1" s="49"/>
      <c r="D1" s="49"/>
      <c r="E1" s="50"/>
      <c r="F1" s="1"/>
      <c r="G1"/>
      <c r="H1"/>
      <c r="I1"/>
      <c r="J1" s="1"/>
      <c r="K1" s="1"/>
      <c r="L1" s="1"/>
      <c r="M1" s="1"/>
      <c r="N1" s="1"/>
      <c r="O1" s="2"/>
      <c r="P1" s="2"/>
    </row>
    <row r="2" spans="1:18" ht="15.75" customHeight="1" x14ac:dyDescent="0.2">
      <c r="A2" s="51" t="s">
        <v>20</v>
      </c>
      <c r="B2" s="52"/>
      <c r="C2" s="52"/>
      <c r="D2" s="52"/>
      <c r="E2" s="53"/>
      <c r="F2" s="1"/>
      <c r="G2"/>
      <c r="H2"/>
      <c r="I2"/>
      <c r="J2" s="1"/>
      <c r="K2" s="1"/>
      <c r="M2" s="1"/>
      <c r="N2" s="1"/>
      <c r="O2" s="2"/>
      <c r="P2" s="2"/>
    </row>
    <row r="3" spans="1:18" ht="15.75" customHeight="1" x14ac:dyDescent="0.2">
      <c r="A3" s="51" t="s">
        <v>21</v>
      </c>
      <c r="B3" s="52"/>
      <c r="C3" s="52"/>
      <c r="D3" s="52"/>
      <c r="E3" s="53"/>
      <c r="F3" s="1"/>
      <c r="G3"/>
      <c r="H3"/>
      <c r="I3"/>
      <c r="J3" s="1"/>
      <c r="K3" s="1"/>
      <c r="L3"/>
      <c r="M3" s="1"/>
      <c r="N3" s="1"/>
      <c r="O3" s="5"/>
      <c r="P3" s="5"/>
    </row>
    <row r="4" spans="1:18" ht="15.75" customHeight="1" x14ac:dyDescent="0.2">
      <c r="A4" s="51" t="s">
        <v>22</v>
      </c>
      <c r="B4" s="52"/>
      <c r="C4" s="52"/>
      <c r="D4" s="52"/>
      <c r="E4" s="53"/>
      <c r="F4" s="6"/>
      <c r="G4"/>
      <c r="H4"/>
      <c r="I4"/>
      <c r="J4" s="7"/>
      <c r="K4" s="7"/>
      <c r="L4" s="1"/>
      <c r="O4" s="3"/>
    </row>
    <row r="5" spans="1:18" ht="15.75" customHeight="1" thickBot="1" x14ac:dyDescent="0.25">
      <c r="A5" s="54" t="s">
        <v>23</v>
      </c>
      <c r="B5" s="55"/>
      <c r="C5" s="55"/>
      <c r="D5" s="55"/>
      <c r="E5" s="56"/>
      <c r="F5" s="1"/>
      <c r="G5"/>
      <c r="H5"/>
      <c r="I5"/>
      <c r="J5" s="1"/>
      <c r="K5" s="1"/>
      <c r="L5" s="1"/>
      <c r="O5" s="3"/>
    </row>
    <row r="8" spans="1:18" s="9" customFormat="1" ht="25.5" customHeight="1" x14ac:dyDescent="0.15">
      <c r="A8" s="35" t="s">
        <v>24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/>
    </row>
    <row r="9" spans="1:18" ht="24" customHeight="1" x14ac:dyDescent="0.2">
      <c r="A9" s="38" t="s">
        <v>0</v>
      </c>
      <c r="B9" s="40" t="s">
        <v>1</v>
      </c>
      <c r="C9" s="42" t="s">
        <v>2</v>
      </c>
      <c r="D9" s="43"/>
      <c r="E9" s="44"/>
      <c r="F9" s="42" t="s">
        <v>3</v>
      </c>
      <c r="G9" s="43"/>
      <c r="H9" s="44"/>
      <c r="I9" s="45" t="s">
        <v>4</v>
      </c>
      <c r="J9" s="45" t="s">
        <v>5</v>
      </c>
      <c r="K9" s="45" t="s">
        <v>6</v>
      </c>
      <c r="L9" s="45" t="s">
        <v>7</v>
      </c>
      <c r="M9" s="45" t="s">
        <v>8</v>
      </c>
      <c r="N9" s="45" t="s">
        <v>9</v>
      </c>
      <c r="O9" s="38" t="s">
        <v>10</v>
      </c>
    </row>
    <row r="10" spans="1:18" s="4" customFormat="1" ht="24" customHeight="1" thickBot="1" x14ac:dyDescent="0.25">
      <c r="A10" s="39"/>
      <c r="B10" s="41"/>
      <c r="C10" s="11" t="s">
        <v>11</v>
      </c>
      <c r="D10" s="10" t="s">
        <v>12</v>
      </c>
      <c r="E10" s="12" t="s">
        <v>13</v>
      </c>
      <c r="F10" s="12" t="s">
        <v>11</v>
      </c>
      <c r="G10" s="12" t="s">
        <v>12</v>
      </c>
      <c r="H10" s="12" t="s">
        <v>13</v>
      </c>
      <c r="I10" s="46"/>
      <c r="J10" s="46"/>
      <c r="K10" s="46"/>
      <c r="L10" s="46"/>
      <c r="M10" s="46"/>
      <c r="N10" s="46"/>
      <c r="O10" s="39"/>
    </row>
    <row r="11" spans="1:18" s="4" customFormat="1" ht="110" customHeight="1" thickBot="1" x14ac:dyDescent="0.25">
      <c r="A11" s="70">
        <v>1</v>
      </c>
      <c r="B11" s="71" t="s">
        <v>27</v>
      </c>
      <c r="C11" s="72">
        <v>2</v>
      </c>
      <c r="D11" s="73">
        <v>7416</v>
      </c>
      <c r="E11" s="73">
        <f>C11*D11</f>
        <v>14832</v>
      </c>
      <c r="F11" s="72">
        <v>2</v>
      </c>
      <c r="G11" s="73">
        <v>7416</v>
      </c>
      <c r="H11" s="73">
        <f>F11*G11</f>
        <v>14832</v>
      </c>
      <c r="I11" s="74">
        <v>2</v>
      </c>
      <c r="J11" s="74">
        <v>10</v>
      </c>
      <c r="K11" s="73">
        <f>H11*(1-L11)</f>
        <v>11865.6</v>
      </c>
      <c r="L11" s="75">
        <f>IF((I11/J11)&gt;=0.75,0.75,IF((I11/J11)&gt;=0,(I11/J11),IF((I11/J11)&lt;=1,0)))</f>
        <v>0.2</v>
      </c>
      <c r="M11" s="73">
        <f>H11-K11</f>
        <v>2966.3999999999996</v>
      </c>
      <c r="N11" s="76" t="s">
        <v>26</v>
      </c>
      <c r="O11" s="77" t="s">
        <v>28</v>
      </c>
      <c r="R11" s="26"/>
    </row>
    <row r="12" spans="1:18" s="4" customFormat="1" ht="18" customHeight="1" thickBot="1" x14ac:dyDescent="0.25">
      <c r="A12" s="61" t="s">
        <v>14</v>
      </c>
      <c r="B12" s="62"/>
      <c r="C12" s="62"/>
      <c r="D12" s="63"/>
      <c r="E12" s="13">
        <f>SUM(E11:E11)</f>
        <v>14832</v>
      </c>
      <c r="F12" s="14"/>
      <c r="G12" s="15"/>
      <c r="H12" s="16">
        <f>SUM(H11:H11)</f>
        <v>14832</v>
      </c>
      <c r="I12" s="64"/>
      <c r="J12" s="65"/>
      <c r="K12" s="17">
        <f>SUM(K11:K11)</f>
        <v>11865.6</v>
      </c>
      <c r="L12" s="17"/>
      <c r="M12" s="17">
        <f>SUM(M11:M11)</f>
        <v>2966.3999999999996</v>
      </c>
      <c r="N12"/>
    </row>
    <row r="13" spans="1:18" s="4" customFormat="1" ht="18" customHeight="1" x14ac:dyDescent="0.2">
      <c r="A13" s="57" t="s">
        <v>25</v>
      </c>
      <c r="B13" s="58"/>
      <c r="C13" s="58"/>
      <c r="D13" s="59"/>
      <c r="E13" s="18">
        <v>997.45</v>
      </c>
      <c r="F13" s="19"/>
      <c r="G13" s="20"/>
      <c r="H13" s="18">
        <v>997.45</v>
      </c>
      <c r="I13" s="68"/>
      <c r="J13" s="69"/>
      <c r="K13" s="21">
        <v>797.96</v>
      </c>
      <c r="L13" s="21"/>
      <c r="M13" s="21">
        <v>199.49</v>
      </c>
      <c r="N13"/>
    </row>
    <row r="14" spans="1:18" s="4" customFormat="1" ht="18" customHeight="1" thickBot="1" x14ac:dyDescent="0.25">
      <c r="A14" s="57" t="s">
        <v>13</v>
      </c>
      <c r="B14" s="58"/>
      <c r="C14" s="58"/>
      <c r="D14" s="59"/>
      <c r="E14" s="22">
        <f>SUM(E12:E13)</f>
        <v>15829.45</v>
      </c>
      <c r="F14" s="23"/>
      <c r="G14" s="24"/>
      <c r="H14" s="22">
        <f>SUM(H12,H13)</f>
        <v>15829.45</v>
      </c>
      <c r="I14" s="66"/>
      <c r="J14" s="67"/>
      <c r="K14" s="25">
        <f>SUM(K12:K13)</f>
        <v>12663.560000000001</v>
      </c>
      <c r="L14" s="25"/>
      <c r="M14" s="25">
        <f>SUM(M12:M13)</f>
        <v>3165.8899999999994</v>
      </c>
      <c r="N14"/>
    </row>
    <row r="15" spans="1:18" ht="12.75" customHeight="1" x14ac:dyDescent="0.2">
      <c r="A15" s="60"/>
      <c r="B15" s="60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7" spans="2:12" x14ac:dyDescent="0.2">
      <c r="B17" s="27" t="s">
        <v>15</v>
      </c>
      <c r="C17" s="28"/>
      <c r="D17" s="29"/>
      <c r="E17" s="33">
        <f>E14</f>
        <v>15829.45</v>
      </c>
    </row>
    <row r="18" spans="2:12" x14ac:dyDescent="0.2">
      <c r="B18" s="30"/>
      <c r="C18" s="31"/>
      <c r="D18" s="32"/>
      <c r="E18" s="47"/>
    </row>
    <row r="20" spans="2:12" x14ac:dyDescent="0.2">
      <c r="B20" s="27" t="s">
        <v>16</v>
      </c>
      <c r="C20" s="28"/>
      <c r="D20" s="29"/>
      <c r="E20" s="33">
        <f>H14</f>
        <v>15829.45</v>
      </c>
      <c r="K20" s="26"/>
    </row>
    <row r="21" spans="2:12" x14ac:dyDescent="0.2">
      <c r="B21" s="30"/>
      <c r="C21" s="31"/>
      <c r="D21" s="32"/>
      <c r="E21" s="47"/>
      <c r="K21" s="26"/>
    </row>
    <row r="23" spans="2:12" x14ac:dyDescent="0.2">
      <c r="B23" s="27" t="s">
        <v>17</v>
      </c>
      <c r="C23" s="28"/>
      <c r="D23" s="29"/>
      <c r="E23" s="33">
        <f>K14</f>
        <v>12663.560000000001</v>
      </c>
    </row>
    <row r="24" spans="2:12" x14ac:dyDescent="0.2">
      <c r="B24" s="30"/>
      <c r="C24" s="31"/>
      <c r="D24" s="32"/>
      <c r="E24" s="47"/>
      <c r="I24" s="7"/>
      <c r="J24" s="7"/>
      <c r="K24" s="7"/>
      <c r="L24" s="7"/>
    </row>
    <row r="25" spans="2:12" x14ac:dyDescent="0.2">
      <c r="I25" s="7"/>
      <c r="J25" s="7"/>
      <c r="K25" s="7"/>
      <c r="L25" s="7"/>
    </row>
    <row r="26" spans="2:12" x14ac:dyDescent="0.2">
      <c r="B26" s="27" t="s">
        <v>18</v>
      </c>
      <c r="C26" s="28"/>
      <c r="D26" s="29"/>
      <c r="E26" s="33">
        <f>M14</f>
        <v>3165.8899999999994</v>
      </c>
    </row>
    <row r="27" spans="2:12" x14ac:dyDescent="0.2">
      <c r="B27" s="30"/>
      <c r="C27" s="31"/>
      <c r="D27" s="32"/>
      <c r="E27" s="34"/>
    </row>
  </sheetData>
  <mergeCells count="32">
    <mergeCell ref="A13:D13"/>
    <mergeCell ref="I13:J13"/>
    <mergeCell ref="A14:D14"/>
    <mergeCell ref="I14:J14"/>
    <mergeCell ref="A15:B15"/>
    <mergeCell ref="F9:H9"/>
    <mergeCell ref="A9:A10"/>
    <mergeCell ref="A8:O8"/>
    <mergeCell ref="C9:E9"/>
    <mergeCell ref="B9:B10"/>
    <mergeCell ref="A12:D12"/>
    <mergeCell ref="I12:J12"/>
    <mergeCell ref="L9:L10"/>
    <mergeCell ref="O9:O10"/>
    <mergeCell ref="I9:I10"/>
    <mergeCell ref="J9:J10"/>
    <mergeCell ref="K9:K10"/>
    <mergeCell ref="M9:M10"/>
    <mergeCell ref="N9:N10"/>
    <mergeCell ref="B23:D24"/>
    <mergeCell ref="E23:E24"/>
    <mergeCell ref="A1:E1"/>
    <mergeCell ref="A2:E2"/>
    <mergeCell ref="A3:E3"/>
    <mergeCell ref="A4:E4"/>
    <mergeCell ref="A5:E5"/>
    <mergeCell ref="E17:E18"/>
    <mergeCell ref="E20:E21"/>
    <mergeCell ref="B26:D27"/>
    <mergeCell ref="E26:E27"/>
    <mergeCell ref="B17:D18"/>
    <mergeCell ref="B20:D21"/>
  </mergeCells>
  <phoneticPr fontId="1" type="noConversion"/>
  <pageMargins left="0.25" right="0.25" top="0.75" bottom="0.75" header="0.3" footer="0.3"/>
  <pageSetup scale="55" fitToHeight="20" orientation="landscape" horizontalDpi="300" verticalDpi="1200" r:id="rId1"/>
  <headerFooter alignWithMargins="0">
    <oddFooter>&amp;C&amp;"Times New Roman,Regular"Page &amp;P of &amp;N
© 2022 by Loss Solutions Group, LLC. All rights reserved.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 x14ac:dyDescent="0.15"/>
  <sheetData/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Loss Solutions Group</dc:creator>
  <cp:keywords/>
  <dc:description/>
  <cp:lastModifiedBy>Emma Muhleman</cp:lastModifiedBy>
  <cp:revision/>
  <dcterms:created xsi:type="dcterms:W3CDTF">2007-08-27T01:37:34Z</dcterms:created>
  <dcterms:modified xsi:type="dcterms:W3CDTF">2025-10-04T18:08:36Z</dcterms:modified>
  <cp:category/>
  <cp:contentStatus/>
</cp:coreProperties>
</file>