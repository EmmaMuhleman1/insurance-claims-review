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John Kwasneski/"/>
    </mc:Choice>
  </mc:AlternateContent>
  <xr:revisionPtr revIDLastSave="0" documentId="13_ncr:1_{C2D0E0E1-B4F2-6348-A2C7-D40B8CD76D2A}" xr6:coauthVersionLast="47" xr6:coauthVersionMax="47" xr10:uidLastSave="{00000000-0000-0000-0000-000000000000}"/>
  <bookViews>
    <workbookView xWindow="660" yWindow="860" windowWidth="28520" windowHeight="187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0" i="1" l="1"/>
  <c r="E35" i="1"/>
  <c r="H29" i="1"/>
  <c r="E29" i="1"/>
  <c r="H28" i="1"/>
  <c r="E28" i="1"/>
  <c r="H27" i="1"/>
  <c r="E27" i="1"/>
  <c r="H26" i="1"/>
  <c r="E26" i="1"/>
  <c r="H25" i="1"/>
  <c r="E25" i="1"/>
  <c r="H24" i="1"/>
  <c r="E24" i="1"/>
  <c r="L23" i="1"/>
  <c r="H23" i="1"/>
  <c r="E23" i="1"/>
  <c r="L22" i="1"/>
  <c r="H22" i="1"/>
  <c r="E22" i="1"/>
  <c r="L21" i="1"/>
  <c r="H21" i="1"/>
  <c r="E21" i="1"/>
  <c r="L20" i="1"/>
  <c r="E20" i="1"/>
  <c r="H11" i="1"/>
  <c r="L12" i="1"/>
  <c r="L13" i="1"/>
  <c r="L14" i="1"/>
  <c r="L15" i="1"/>
  <c r="L16" i="1"/>
  <c r="L17" i="1"/>
  <c r="L18" i="1"/>
  <c r="L19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11" i="1"/>
  <c r="K22" i="1" l="1"/>
  <c r="M22" i="1" s="1"/>
  <c r="K20" i="1"/>
  <c r="M20" i="1" s="1"/>
  <c r="K29" i="1"/>
  <c r="M29" i="1" s="1"/>
  <c r="K16" i="1"/>
  <c r="M16" i="1" s="1"/>
  <c r="K19" i="1"/>
  <c r="M19" i="1" s="1"/>
  <c r="K18" i="1"/>
  <c r="M18" i="1" s="1"/>
  <c r="K17" i="1"/>
  <c r="M17" i="1" s="1"/>
  <c r="K24" i="1"/>
  <c r="M24" i="1" s="1"/>
  <c r="K23" i="1"/>
  <c r="M23" i="1" s="1"/>
  <c r="K15" i="1"/>
  <c r="M15" i="1" s="1"/>
  <c r="K21" i="1"/>
  <c r="M21" i="1" s="1"/>
  <c r="K27" i="1"/>
  <c r="M27" i="1" s="1"/>
  <c r="K13" i="1"/>
  <c r="M13" i="1" s="1"/>
  <c r="K28" i="1"/>
  <c r="M28" i="1" s="1"/>
  <c r="K26" i="1"/>
  <c r="M26" i="1" s="1"/>
  <c r="K14" i="1"/>
  <c r="M14" i="1" s="1"/>
  <c r="K25" i="1"/>
  <c r="M25" i="1" s="1"/>
  <c r="K11" i="1"/>
  <c r="E12" i="1" l="1"/>
  <c r="H12" i="1"/>
  <c r="K12" i="1" l="1"/>
  <c r="K30" i="1" s="1"/>
  <c r="H30" i="1"/>
  <c r="E30" i="1"/>
  <c r="E32" i="1" s="1"/>
  <c r="M12" i="1" l="1"/>
  <c r="H32" i="1"/>
  <c r="E38" i="1" s="1"/>
  <c r="K32" i="1"/>
  <c r="E41" i="1" s="1"/>
  <c r="M11" i="1" l="1"/>
  <c r="M30" i="1" s="1"/>
  <c r="M32" i="1" s="1"/>
  <c r="E44" i="1" s="1"/>
</calcChain>
</file>

<file path=xl/sharedStrings.xml><?xml version="1.0" encoding="utf-8"?>
<sst xmlns="http://schemas.openxmlformats.org/spreadsheetml/2006/main" count="102" uniqueCount="67">
  <si>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</si>
  <si>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</si>
  <si>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</si>
  <si>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</si>
  <si>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</si>
  <si>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</si>
  <si>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</si>
  <si>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</si>
  <si>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</si>
  <si>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</si>
  <si>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</si>
  <si>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</si>
  <si>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</si>
  <si>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</si>
  <si>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</si>
  <si>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</si>
  <si>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</si>
  <si>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</si>
  <si>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</si>
  <si>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</si>
  <si>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</si>
  <si>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HAVC SYSTEM REPLACEMENT</t>
  </si>
  <si>
    <t>CONDENSER</t>
  </si>
  <si>
    <t>EVAPORATOR COIL</t>
  </si>
  <si>
    <t>THERMOSTAT</t>
  </si>
  <si>
    <t>COPPER</t>
  </si>
  <si>
    <t>ELECTRICAL COMPONENTS</t>
  </si>
  <si>
    <t>MISC. MATERIALS FOR EQUIPMENT</t>
  </si>
  <si>
    <t>DUCT RUNS</t>
  </si>
  <si>
    <t>GRILLS AND RETURNS</t>
  </si>
  <si>
    <t>TRUNK DUCTING</t>
  </si>
  <si>
    <t>PLENUMS</t>
  </si>
  <si>
    <t>MISC. DUCTING MATERIALS</t>
  </si>
  <si>
    <t>SURGE PROTECTOR</t>
  </si>
  <si>
    <t>AIR CLEANER</t>
  </si>
  <si>
    <t>TRAVEL EXPENSES</t>
  </si>
  <si>
    <t>PERMIT FEE</t>
  </si>
  <si>
    <t>DISPOSAL</t>
  </si>
  <si>
    <t>LABOR</t>
  </si>
  <si>
    <t>N/A</t>
  </si>
  <si>
    <t>VENDOR PRESENTED COST AS LUMP SUM</t>
  </si>
  <si>
    <t>FURNACE</t>
  </si>
  <si>
    <t xml:space="preserve">TORCH KIT, PVC, CONNECTORS, HARDWARE, FILTER DRIER, REFRIGERANT, ETC. </t>
  </si>
  <si>
    <t xml:space="preserve">SLIPS/DRIVES, SEALANT, INSULATION, HARDWARE, ETC. </t>
  </si>
  <si>
    <t>TRIP/FUEL/FREIGHT CHARGES</t>
  </si>
  <si>
    <t>MATERIALS AND LABOR TO INTALL SURGE PROTECTOR NOT PART OF PRE-LOSS</t>
  </si>
  <si>
    <t xml:space="preserve">INSURED: JOHN KWASNESKI </t>
  </si>
  <si>
    <t>LSG MATTER #: 426600.4046-00</t>
  </si>
  <si>
    <t>CLAIM #: 85-00721214</t>
  </si>
  <si>
    <t>DATE OF LOSS: 1/2/2025</t>
  </si>
  <si>
    <t>CAUSE OF LOSS: SMOKE / SOOT</t>
  </si>
  <si>
    <t>RESTANO HEATING, COOLING, &amp; PLUMBING (724-327-7137) ESTIMATE # 63208415</t>
  </si>
  <si>
    <t>BASIC 80% SINGLE STAGE GAS FURNACE</t>
  </si>
  <si>
    <t>TWO (2) TON 14.3 SEER SINGLE STAGE AIR CONDITIONER CONDENSING UNIT</t>
  </si>
  <si>
    <t>TWO (2) TON VERTICAL EVAPERATOR COIL</t>
  </si>
  <si>
    <t>COPPER TUBING TO BE RAN FROM CONDENSER TO EVAPERATOR ROUGHLY FIFTY (50) FEET.</t>
  </si>
  <si>
    <t>ELECTRICAL DISCONNECT, FUSES, LOW VOLTAGE WIRING FOR THE THERMOSTAT.</t>
  </si>
  <si>
    <t xml:space="preserve">TRUNK DUCTING TO BE INSTALLED AS OLD DUCTING WAS REPORTEDLY DAMMAGED BEYONE REPAIR. </t>
  </si>
  <si>
    <t xml:space="preserve">TWO (2) PLENUMS, ONE SUPPLY AIR AND THE OTHER FOR RETURN AIR. </t>
  </si>
  <si>
    <t>MATERIALS AND LABOR TO INTALL AIR CLEANER NOT PART OF PRE-LOSS</t>
  </si>
  <si>
    <t>PERMIT FEES</t>
  </si>
  <si>
    <t xml:space="preserve">REMOVAL AND DISPOSAL OF THE OLD EQUIPMENT AND DUCTING. </t>
  </si>
  <si>
    <t xml:space="preserve">LABOR HOURS FOR ROUGHLY THREE TECHNICIANS FOR THREE FULL DAYS OF WORK. </t>
  </si>
  <si>
    <t>AVERAGE</t>
  </si>
  <si>
    <t xml:space="preserve">WE ESTIMATE THAT THE TWO (2) BED, ONE (1) BATH, CONDO HAS ROUGHLY ELEVEN (11) DUCT RUNS IN IT. </t>
  </si>
  <si>
    <t xml:space="preserve">WE ESTIMATE THAT THE TWO (2) BED, ONE (1) BATH, CONDO HAS ROUGHLY ELEVEN (11) GRILLS IN IT WITH AT LEAST TWO RETURNS. </t>
  </si>
  <si>
    <t xml:space="preserve">BASIC WIFI ENABLED PROGRAMMABLE THERMOSTAT.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</si>
</sst>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7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left" wrapText="1"/>
    </xf>
    <xf numFmtId="44" fontId="7" fillId="4" borderId="16" xfId="1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/>
    </xf>
    <xf numFmtId="9" fontId="7" fillId="4" borderId="16" xfId="6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topLeftCell="A23" zoomScale="80" zoomScaleNormal="80" zoomScalePageLayoutView="90" workbookViewId="0">
      <selection activeCell="O13" sqref="O13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49" t="s">
        <v>46</v>
      </c>
      <c r="B1" s="50"/>
      <c r="C1" s="50"/>
      <c r="D1" s="50"/>
      <c r="E1" s="51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2" t="s">
        <v>47</v>
      </c>
      <c r="B2" s="53"/>
      <c r="C2" s="53"/>
      <c r="D2" s="53"/>
      <c r="E2" s="54"/>
      <c r="F2" s="1"/>
      <c r="G2"/>
      <c r="H2"/>
      <c r="I2"/>
      <c r="J2" s="1"/>
      <c r="K2" s="1"/>
      <c r="L2"/>
      <c r="M2" s="1"/>
      <c r="N2" s="1"/>
      <c r="O2" s="2"/>
      <c r="P2" s="2"/>
    </row>
    <row r="3" spans="1:18" ht="15.75" customHeight="1" thickBot="1" x14ac:dyDescent="0.25">
      <c r="A3" s="52" t="s">
        <v>48</v>
      </c>
      <c r="B3" s="53"/>
      <c r="C3" s="53"/>
      <c r="D3" s="53"/>
      <c r="E3" s="54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52" t="s">
        <v>49</v>
      </c>
      <c r="B4" s="53"/>
      <c r="C4" s="53"/>
      <c r="D4" s="53"/>
      <c r="E4" s="54"/>
      <c r="F4" s="7"/>
      <c r="G4" s="61" t="s">
        <v>0</v>
      </c>
      <c r="H4" s="62"/>
      <c r="I4" s="4"/>
      <c r="J4" s="8"/>
      <c r="K4" s="8"/>
      <c r="L4"/>
      <c r="O4" s="3"/>
    </row>
    <row r="5" spans="1:18" ht="15.75" customHeight="1" thickBot="1" x14ac:dyDescent="0.25">
      <c r="A5" s="55" t="s">
        <v>50</v>
      </c>
      <c r="B5" s="56"/>
      <c r="C5" s="56"/>
      <c r="D5" s="56"/>
      <c r="E5" s="57"/>
      <c r="F5" s="1"/>
      <c r="G5" s="63"/>
      <c r="H5" s="64"/>
      <c r="I5" s="4"/>
      <c r="J5" s="1"/>
      <c r="K5" s="1"/>
      <c r="L5" s="1"/>
      <c r="O5" s="3"/>
    </row>
    <row r="8" spans="1:18" s="10" customFormat="1" ht="25.5" customHeight="1" x14ac:dyDescent="0.15">
      <c r="A8" s="36" t="s">
        <v>51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1:18" ht="24" customHeight="1" x14ac:dyDescent="0.2">
      <c r="A9" s="39" t="s">
        <v>1</v>
      </c>
      <c r="B9" s="41" t="s">
        <v>2</v>
      </c>
      <c r="C9" s="43" t="s">
        <v>3</v>
      </c>
      <c r="D9" s="44"/>
      <c r="E9" s="45"/>
      <c r="F9" s="43" t="s">
        <v>4</v>
      </c>
      <c r="G9" s="44"/>
      <c r="H9" s="45"/>
      <c r="I9" s="46" t="s">
        <v>5</v>
      </c>
      <c r="J9" s="46" t="s">
        <v>6</v>
      </c>
      <c r="K9" s="46" t="s">
        <v>7</v>
      </c>
      <c r="L9" s="46" t="s">
        <v>8</v>
      </c>
      <c r="M9" s="46" t="s">
        <v>9</v>
      </c>
      <c r="N9" s="46" t="s">
        <v>10</v>
      </c>
      <c r="O9" s="39" t="s">
        <v>11</v>
      </c>
    </row>
    <row r="10" spans="1:18" s="5" customFormat="1" ht="24" customHeight="1" thickBot="1" x14ac:dyDescent="0.25">
      <c r="A10" s="40"/>
      <c r="B10" s="42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47"/>
      <c r="J10" s="47"/>
      <c r="K10" s="47"/>
      <c r="L10" s="47"/>
      <c r="M10" s="47"/>
      <c r="N10" s="47"/>
      <c r="O10" s="40"/>
    </row>
    <row r="11" spans="1:18" s="5" customFormat="1" ht="65" customHeight="1" x14ac:dyDescent="0.2">
      <c r="A11" s="94">
        <v>1</v>
      </c>
      <c r="B11" s="95" t="s">
        <v>21</v>
      </c>
      <c r="C11" s="96">
        <v>1</v>
      </c>
      <c r="D11" s="97">
        <v>21890</v>
      </c>
      <c r="E11" s="97">
        <f>C11*D11</f>
        <v>21890</v>
      </c>
      <c r="F11" s="96">
        <v>0</v>
      </c>
      <c r="G11" s="97">
        <v>0</v>
      </c>
      <c r="H11" s="97">
        <f>F11*G11</f>
        <v>0</v>
      </c>
      <c r="I11" s="98" t="s">
        <v>39</v>
      </c>
      <c r="J11" s="98" t="s">
        <v>39</v>
      </c>
      <c r="K11" s="97">
        <f>H11*(1-L11)</f>
        <v>0</v>
      </c>
      <c r="L11" s="99">
        <v>0</v>
      </c>
      <c r="M11" s="97">
        <f>H11-K11</f>
        <v>0</v>
      </c>
      <c r="N11" s="100" t="s">
        <v>39</v>
      </c>
      <c r="O11" s="101" t="s">
        <v>40</v>
      </c>
      <c r="R11" s="27"/>
    </row>
    <row r="12" spans="1:18" s="5" customFormat="1" ht="65" customHeight="1" x14ac:dyDescent="0.2">
      <c r="A12" s="102">
        <v>2</v>
      </c>
      <c r="B12" s="84" t="s">
        <v>41</v>
      </c>
      <c r="C12" s="78">
        <v>0</v>
      </c>
      <c r="D12" s="85">
        <v>0</v>
      </c>
      <c r="E12" s="85">
        <f t="shared" ref="E12:E19" si="0">C12*D12</f>
        <v>0</v>
      </c>
      <c r="F12" s="78">
        <v>1</v>
      </c>
      <c r="G12" s="85">
        <v>1650</v>
      </c>
      <c r="H12" s="85">
        <f t="shared" ref="H12" si="1">F12*G12</f>
        <v>1650</v>
      </c>
      <c r="I12" s="86">
        <v>44</v>
      </c>
      <c r="J12" s="86">
        <v>20</v>
      </c>
      <c r="K12" s="80">
        <f t="shared" ref="K12:K19" si="2">H12*(1-L12)</f>
        <v>412.5</v>
      </c>
      <c r="L12" s="82">
        <f t="shared" ref="L12:L19" si="3">IF((I12/J12)&gt;=0.75,0.75,IF((I12/J12)&gt;=0.1,(I12/J12),IF((I12/J12)&lt;=0.1,0.1)))</f>
        <v>0.75</v>
      </c>
      <c r="M12" s="80">
        <f t="shared" ref="M12:M19" si="4">H12-K12</f>
        <v>1237.5</v>
      </c>
      <c r="N12" s="87" t="s">
        <v>63</v>
      </c>
      <c r="O12" s="103" t="s">
        <v>52</v>
      </c>
    </row>
    <row r="13" spans="1:18" s="5" customFormat="1" ht="65" customHeight="1" x14ac:dyDescent="0.2">
      <c r="A13" s="104">
        <v>3</v>
      </c>
      <c r="B13" s="79" t="s">
        <v>22</v>
      </c>
      <c r="C13" s="78">
        <v>0</v>
      </c>
      <c r="D13" s="80">
        <v>0</v>
      </c>
      <c r="E13" s="80">
        <f t="shared" si="0"/>
        <v>0</v>
      </c>
      <c r="F13" s="78">
        <v>1</v>
      </c>
      <c r="G13" s="80">
        <v>2300</v>
      </c>
      <c r="H13" s="80">
        <f>F13*G13</f>
        <v>2300</v>
      </c>
      <c r="I13" s="81">
        <v>44</v>
      </c>
      <c r="J13" s="81">
        <v>20</v>
      </c>
      <c r="K13" s="80">
        <f t="shared" si="2"/>
        <v>575</v>
      </c>
      <c r="L13" s="82">
        <f t="shared" si="3"/>
        <v>0.75</v>
      </c>
      <c r="M13" s="80">
        <f t="shared" si="4"/>
        <v>1725</v>
      </c>
      <c r="N13" s="83" t="s">
        <v>63</v>
      </c>
      <c r="O13" s="105" t="s">
        <v>53</v>
      </c>
    </row>
    <row r="14" spans="1:18" s="5" customFormat="1" ht="65" customHeight="1" x14ac:dyDescent="0.2">
      <c r="A14" s="102">
        <v>4</v>
      </c>
      <c r="B14" s="84" t="s">
        <v>23</v>
      </c>
      <c r="C14" s="78">
        <v>0</v>
      </c>
      <c r="D14" s="85">
        <v>0</v>
      </c>
      <c r="E14" s="85">
        <f t="shared" si="0"/>
        <v>0</v>
      </c>
      <c r="F14" s="78">
        <v>1</v>
      </c>
      <c r="G14" s="85">
        <v>800</v>
      </c>
      <c r="H14" s="85">
        <f t="shared" ref="H14" si="5">F14*G14</f>
        <v>800</v>
      </c>
      <c r="I14" s="86">
        <v>44</v>
      </c>
      <c r="J14" s="86">
        <v>20</v>
      </c>
      <c r="K14" s="80">
        <f t="shared" si="2"/>
        <v>200</v>
      </c>
      <c r="L14" s="82">
        <f t="shared" si="3"/>
        <v>0.75</v>
      </c>
      <c r="M14" s="80">
        <f t="shared" si="4"/>
        <v>600</v>
      </c>
      <c r="N14" s="87" t="s">
        <v>63</v>
      </c>
      <c r="O14" s="103" t="s">
        <v>54</v>
      </c>
    </row>
    <row r="15" spans="1:18" s="5" customFormat="1" ht="65" customHeight="1" x14ac:dyDescent="0.2">
      <c r="A15" s="104">
        <v>5</v>
      </c>
      <c r="B15" s="79" t="s">
        <v>24</v>
      </c>
      <c r="C15" s="78">
        <v>0</v>
      </c>
      <c r="D15" s="80">
        <v>0</v>
      </c>
      <c r="E15" s="80">
        <f t="shared" si="0"/>
        <v>0</v>
      </c>
      <c r="F15" s="78">
        <v>1</v>
      </c>
      <c r="G15" s="80">
        <v>150</v>
      </c>
      <c r="H15" s="80">
        <f>F15*G15</f>
        <v>150</v>
      </c>
      <c r="I15" s="81">
        <v>44</v>
      </c>
      <c r="J15" s="81">
        <v>20</v>
      </c>
      <c r="K15" s="80">
        <f t="shared" si="2"/>
        <v>37.5</v>
      </c>
      <c r="L15" s="82">
        <f t="shared" si="3"/>
        <v>0.75</v>
      </c>
      <c r="M15" s="80">
        <f t="shared" si="4"/>
        <v>112.5</v>
      </c>
      <c r="N15" s="83" t="s">
        <v>63</v>
      </c>
      <c r="O15" s="105" t="s">
        <v>66</v>
      </c>
    </row>
    <row r="16" spans="1:18" s="5" customFormat="1" ht="65" customHeight="1" x14ac:dyDescent="0.2">
      <c r="A16" s="102">
        <v>6</v>
      </c>
      <c r="B16" s="84" t="s">
        <v>25</v>
      </c>
      <c r="C16" s="78">
        <v>0</v>
      </c>
      <c r="D16" s="85">
        <v>0</v>
      </c>
      <c r="E16" s="85">
        <f t="shared" si="0"/>
        <v>0</v>
      </c>
      <c r="F16" s="78">
        <v>1</v>
      </c>
      <c r="G16" s="85">
        <v>380</v>
      </c>
      <c r="H16" s="85">
        <f t="shared" ref="H16" si="6">F16*G16</f>
        <v>380</v>
      </c>
      <c r="I16" s="86">
        <v>44</v>
      </c>
      <c r="J16" s="86">
        <v>20</v>
      </c>
      <c r="K16" s="80">
        <f t="shared" si="2"/>
        <v>95</v>
      </c>
      <c r="L16" s="82">
        <f t="shared" si="3"/>
        <v>0.75</v>
      </c>
      <c r="M16" s="80">
        <f t="shared" si="4"/>
        <v>285</v>
      </c>
      <c r="N16" s="87" t="s">
        <v>63</v>
      </c>
      <c r="O16" s="103" t="s">
        <v>55</v>
      </c>
    </row>
    <row r="17" spans="1:15" s="5" customFormat="1" ht="65" customHeight="1" x14ac:dyDescent="0.2">
      <c r="A17" s="104">
        <v>7</v>
      </c>
      <c r="B17" s="79" t="s">
        <v>26</v>
      </c>
      <c r="C17" s="78">
        <v>0</v>
      </c>
      <c r="D17" s="80">
        <v>0</v>
      </c>
      <c r="E17" s="80">
        <f t="shared" si="0"/>
        <v>0</v>
      </c>
      <c r="F17" s="78">
        <v>1</v>
      </c>
      <c r="G17" s="80">
        <v>750</v>
      </c>
      <c r="H17" s="80">
        <f>F17*G17</f>
        <v>750</v>
      </c>
      <c r="I17" s="81">
        <v>44</v>
      </c>
      <c r="J17" s="81">
        <v>20</v>
      </c>
      <c r="K17" s="80">
        <f t="shared" si="2"/>
        <v>187.5</v>
      </c>
      <c r="L17" s="82">
        <f t="shared" si="3"/>
        <v>0.75</v>
      </c>
      <c r="M17" s="80">
        <f t="shared" si="4"/>
        <v>562.5</v>
      </c>
      <c r="N17" s="83" t="s">
        <v>63</v>
      </c>
      <c r="O17" s="105" t="s">
        <v>56</v>
      </c>
    </row>
    <row r="18" spans="1:15" s="5" customFormat="1" ht="65" customHeight="1" x14ac:dyDescent="0.2">
      <c r="A18" s="102">
        <v>8</v>
      </c>
      <c r="B18" s="84" t="s">
        <v>27</v>
      </c>
      <c r="C18" s="78">
        <v>0</v>
      </c>
      <c r="D18" s="85">
        <v>0</v>
      </c>
      <c r="E18" s="85">
        <f t="shared" si="0"/>
        <v>0</v>
      </c>
      <c r="F18" s="78">
        <v>1</v>
      </c>
      <c r="G18" s="85">
        <v>750</v>
      </c>
      <c r="H18" s="85">
        <f t="shared" ref="H18" si="7">F18*G18</f>
        <v>750</v>
      </c>
      <c r="I18" s="86">
        <v>44</v>
      </c>
      <c r="J18" s="86">
        <v>20</v>
      </c>
      <c r="K18" s="80">
        <f t="shared" si="2"/>
        <v>187.5</v>
      </c>
      <c r="L18" s="82">
        <f t="shared" si="3"/>
        <v>0.75</v>
      </c>
      <c r="M18" s="80">
        <f t="shared" si="4"/>
        <v>562.5</v>
      </c>
      <c r="N18" s="87" t="s">
        <v>63</v>
      </c>
      <c r="O18" s="103" t="s">
        <v>42</v>
      </c>
    </row>
    <row r="19" spans="1:15" s="5" customFormat="1" ht="65" customHeight="1" x14ac:dyDescent="0.2">
      <c r="A19" s="104">
        <v>9</v>
      </c>
      <c r="B19" s="79" t="s">
        <v>28</v>
      </c>
      <c r="C19" s="78">
        <v>0</v>
      </c>
      <c r="D19" s="80">
        <v>0</v>
      </c>
      <c r="E19" s="80">
        <f t="shared" si="0"/>
        <v>0</v>
      </c>
      <c r="F19" s="78">
        <v>11</v>
      </c>
      <c r="G19" s="80">
        <v>200</v>
      </c>
      <c r="H19" s="80">
        <f>F19*G19</f>
        <v>2200</v>
      </c>
      <c r="I19" s="81">
        <v>44</v>
      </c>
      <c r="J19" s="81">
        <v>20</v>
      </c>
      <c r="K19" s="80">
        <f t="shared" si="2"/>
        <v>550</v>
      </c>
      <c r="L19" s="82">
        <f t="shared" si="3"/>
        <v>0.75</v>
      </c>
      <c r="M19" s="80">
        <f t="shared" si="4"/>
        <v>1650</v>
      </c>
      <c r="N19" s="83" t="s">
        <v>63</v>
      </c>
      <c r="O19" s="105" t="s">
        <v>64</v>
      </c>
    </row>
    <row r="20" spans="1:15" s="5" customFormat="1" ht="70" customHeight="1" x14ac:dyDescent="0.2">
      <c r="A20" s="102">
        <v>10</v>
      </c>
      <c r="B20" s="84" t="s">
        <v>29</v>
      </c>
      <c r="C20" s="78">
        <v>0</v>
      </c>
      <c r="D20" s="85">
        <v>0</v>
      </c>
      <c r="E20" s="85">
        <f t="shared" ref="E20:E27" si="8">C20*D20</f>
        <v>0</v>
      </c>
      <c r="F20" s="78">
        <v>11</v>
      </c>
      <c r="G20" s="85">
        <v>50</v>
      </c>
      <c r="H20" s="85">
        <f>F20*G20</f>
        <v>550</v>
      </c>
      <c r="I20" s="86">
        <v>44</v>
      </c>
      <c r="J20" s="86">
        <v>20</v>
      </c>
      <c r="K20" s="80">
        <f t="shared" ref="K20:K27" si="9">H20*(1-L20)</f>
        <v>137.5</v>
      </c>
      <c r="L20" s="82">
        <f t="shared" ref="L20:L27" si="10">IF((I20/J20)&gt;=0.75,0.75,IF((I20/J20)&gt;=0.1,(I20/J20),IF((I20/J20)&lt;=0.1,0.1)))</f>
        <v>0.75</v>
      </c>
      <c r="M20" s="80">
        <f t="shared" ref="M20:M27" si="11">H20-K20</f>
        <v>412.5</v>
      </c>
      <c r="N20" s="87" t="s">
        <v>63</v>
      </c>
      <c r="O20" s="105" t="s">
        <v>65</v>
      </c>
    </row>
    <row r="21" spans="1:15" s="5" customFormat="1" ht="65" customHeight="1" x14ac:dyDescent="0.2">
      <c r="A21" s="104">
        <v>11</v>
      </c>
      <c r="B21" s="79" t="s">
        <v>30</v>
      </c>
      <c r="C21" s="78">
        <v>0</v>
      </c>
      <c r="D21" s="80">
        <v>0</v>
      </c>
      <c r="E21" s="80">
        <f t="shared" si="8"/>
        <v>0</v>
      </c>
      <c r="F21" s="78">
        <v>1</v>
      </c>
      <c r="G21" s="80">
        <v>1000</v>
      </c>
      <c r="H21" s="80">
        <f>F21*G21</f>
        <v>1000</v>
      </c>
      <c r="I21" s="81">
        <v>44</v>
      </c>
      <c r="J21" s="81">
        <v>20</v>
      </c>
      <c r="K21" s="80">
        <f t="shared" si="9"/>
        <v>250</v>
      </c>
      <c r="L21" s="82">
        <f t="shared" si="10"/>
        <v>0.75</v>
      </c>
      <c r="M21" s="80">
        <f t="shared" si="11"/>
        <v>750</v>
      </c>
      <c r="N21" s="83" t="s">
        <v>63</v>
      </c>
      <c r="O21" s="105" t="s">
        <v>57</v>
      </c>
    </row>
    <row r="22" spans="1:15" s="5" customFormat="1" ht="65" customHeight="1" x14ac:dyDescent="0.2">
      <c r="A22" s="102">
        <v>12</v>
      </c>
      <c r="B22" s="84" t="s">
        <v>31</v>
      </c>
      <c r="C22" s="78">
        <v>0</v>
      </c>
      <c r="D22" s="85">
        <v>0</v>
      </c>
      <c r="E22" s="85">
        <f t="shared" si="8"/>
        <v>0</v>
      </c>
      <c r="F22" s="78">
        <v>2</v>
      </c>
      <c r="G22" s="85">
        <v>200</v>
      </c>
      <c r="H22" s="85">
        <f t="shared" ref="H22" si="12">F22*G22</f>
        <v>400</v>
      </c>
      <c r="I22" s="86">
        <v>44</v>
      </c>
      <c r="J22" s="86">
        <v>20</v>
      </c>
      <c r="K22" s="80">
        <f t="shared" si="9"/>
        <v>100</v>
      </c>
      <c r="L22" s="82">
        <f t="shared" si="10"/>
        <v>0.75</v>
      </c>
      <c r="M22" s="80">
        <f t="shared" si="11"/>
        <v>300</v>
      </c>
      <c r="N22" s="87" t="s">
        <v>63</v>
      </c>
      <c r="O22" s="103" t="s">
        <v>58</v>
      </c>
    </row>
    <row r="23" spans="1:15" s="5" customFormat="1" ht="65" customHeight="1" x14ac:dyDescent="0.2">
      <c r="A23" s="104">
        <v>13</v>
      </c>
      <c r="B23" s="79" t="s">
        <v>32</v>
      </c>
      <c r="C23" s="78">
        <v>0</v>
      </c>
      <c r="D23" s="80">
        <v>0</v>
      </c>
      <c r="E23" s="80">
        <f t="shared" si="8"/>
        <v>0</v>
      </c>
      <c r="F23" s="78">
        <v>1</v>
      </c>
      <c r="G23" s="80">
        <v>530</v>
      </c>
      <c r="H23" s="80">
        <f>F23*G23</f>
        <v>530</v>
      </c>
      <c r="I23" s="81">
        <v>44</v>
      </c>
      <c r="J23" s="81">
        <v>20</v>
      </c>
      <c r="K23" s="80">
        <f t="shared" si="9"/>
        <v>132.5</v>
      </c>
      <c r="L23" s="82">
        <f t="shared" si="10"/>
        <v>0.75</v>
      </c>
      <c r="M23" s="80">
        <f t="shared" si="11"/>
        <v>397.5</v>
      </c>
      <c r="N23" s="83" t="s">
        <v>63</v>
      </c>
      <c r="O23" s="105" t="s">
        <v>43</v>
      </c>
    </row>
    <row r="24" spans="1:15" s="5" customFormat="1" ht="65" customHeight="1" x14ac:dyDescent="0.2">
      <c r="A24" s="106">
        <v>14</v>
      </c>
      <c r="B24" s="89" t="s">
        <v>33</v>
      </c>
      <c r="C24" s="88">
        <v>0</v>
      </c>
      <c r="D24" s="90">
        <v>0</v>
      </c>
      <c r="E24" s="90">
        <f t="shared" si="8"/>
        <v>0</v>
      </c>
      <c r="F24" s="88">
        <v>0</v>
      </c>
      <c r="G24" s="90">
        <v>260</v>
      </c>
      <c r="H24" s="90">
        <f t="shared" ref="H24" si="13">F24*G24</f>
        <v>0</v>
      </c>
      <c r="I24" s="91" t="s">
        <v>39</v>
      </c>
      <c r="J24" s="91" t="s">
        <v>39</v>
      </c>
      <c r="K24" s="90">
        <f t="shared" si="9"/>
        <v>0</v>
      </c>
      <c r="L24" s="92">
        <v>0</v>
      </c>
      <c r="M24" s="90">
        <f t="shared" si="11"/>
        <v>0</v>
      </c>
      <c r="N24" s="93" t="s">
        <v>39</v>
      </c>
      <c r="O24" s="107" t="s">
        <v>45</v>
      </c>
    </row>
    <row r="25" spans="1:15" s="5" customFormat="1" ht="65" customHeight="1" x14ac:dyDescent="0.2">
      <c r="A25" s="106">
        <v>15</v>
      </c>
      <c r="B25" s="89" t="s">
        <v>34</v>
      </c>
      <c r="C25" s="88">
        <v>0</v>
      </c>
      <c r="D25" s="90">
        <v>0</v>
      </c>
      <c r="E25" s="90">
        <f t="shared" si="8"/>
        <v>0</v>
      </c>
      <c r="F25" s="88">
        <v>0</v>
      </c>
      <c r="G25" s="90">
        <v>1200</v>
      </c>
      <c r="H25" s="90">
        <f>F25*G25</f>
        <v>0</v>
      </c>
      <c r="I25" s="91" t="s">
        <v>39</v>
      </c>
      <c r="J25" s="91" t="s">
        <v>39</v>
      </c>
      <c r="K25" s="90">
        <f t="shared" si="9"/>
        <v>0</v>
      </c>
      <c r="L25" s="92">
        <v>0</v>
      </c>
      <c r="M25" s="90">
        <f t="shared" si="11"/>
        <v>0</v>
      </c>
      <c r="N25" s="93" t="s">
        <v>39</v>
      </c>
      <c r="O25" s="107" t="s">
        <v>59</v>
      </c>
    </row>
    <row r="26" spans="1:15" s="5" customFormat="1" ht="65" customHeight="1" x14ac:dyDescent="0.2">
      <c r="A26" s="102">
        <v>16</v>
      </c>
      <c r="B26" s="84" t="s">
        <v>35</v>
      </c>
      <c r="C26" s="78">
        <v>0</v>
      </c>
      <c r="D26" s="85">
        <v>0</v>
      </c>
      <c r="E26" s="85">
        <f t="shared" si="8"/>
        <v>0</v>
      </c>
      <c r="F26" s="78">
        <v>1</v>
      </c>
      <c r="G26" s="85">
        <v>400</v>
      </c>
      <c r="H26" s="85">
        <f t="shared" ref="H26" si="14">F26*G26</f>
        <v>400</v>
      </c>
      <c r="I26" s="86" t="s">
        <v>39</v>
      </c>
      <c r="J26" s="86" t="s">
        <v>39</v>
      </c>
      <c r="K26" s="80">
        <f t="shared" si="9"/>
        <v>400</v>
      </c>
      <c r="L26" s="82">
        <v>0</v>
      </c>
      <c r="M26" s="80">
        <f t="shared" si="11"/>
        <v>0</v>
      </c>
      <c r="N26" s="87" t="s">
        <v>39</v>
      </c>
      <c r="O26" s="103" t="s">
        <v>44</v>
      </c>
    </row>
    <row r="27" spans="1:15" s="5" customFormat="1" ht="65" customHeight="1" x14ac:dyDescent="0.2">
      <c r="A27" s="104">
        <v>17</v>
      </c>
      <c r="B27" s="79" t="s">
        <v>36</v>
      </c>
      <c r="C27" s="78">
        <v>0</v>
      </c>
      <c r="D27" s="80">
        <v>0</v>
      </c>
      <c r="E27" s="80">
        <f t="shared" si="8"/>
        <v>0</v>
      </c>
      <c r="F27" s="78">
        <v>1</v>
      </c>
      <c r="G27" s="80">
        <v>350</v>
      </c>
      <c r="H27" s="80">
        <f>F27*G27</f>
        <v>350</v>
      </c>
      <c r="I27" s="81" t="s">
        <v>39</v>
      </c>
      <c r="J27" s="81" t="s">
        <v>39</v>
      </c>
      <c r="K27" s="80">
        <f t="shared" si="9"/>
        <v>350</v>
      </c>
      <c r="L27" s="82">
        <v>0</v>
      </c>
      <c r="M27" s="80">
        <f t="shared" si="11"/>
        <v>0</v>
      </c>
      <c r="N27" s="83" t="s">
        <v>39</v>
      </c>
      <c r="O27" s="105" t="s">
        <v>60</v>
      </c>
    </row>
    <row r="28" spans="1:15" s="5" customFormat="1" ht="65" customHeight="1" x14ac:dyDescent="0.2">
      <c r="A28" s="104">
        <v>18</v>
      </c>
      <c r="B28" s="79" t="s">
        <v>37</v>
      </c>
      <c r="C28" s="78">
        <v>0</v>
      </c>
      <c r="D28" s="80">
        <v>0</v>
      </c>
      <c r="E28" s="80">
        <f t="shared" ref="E28:E29" si="15">C28*D28</f>
        <v>0</v>
      </c>
      <c r="F28" s="78">
        <v>1</v>
      </c>
      <c r="G28" s="80">
        <v>300</v>
      </c>
      <c r="H28" s="80">
        <f>F28*G28</f>
        <v>300</v>
      </c>
      <c r="I28" s="81" t="s">
        <v>39</v>
      </c>
      <c r="J28" s="81" t="s">
        <v>39</v>
      </c>
      <c r="K28" s="80">
        <f t="shared" ref="K28:K29" si="16">H28*(1-L28)</f>
        <v>300</v>
      </c>
      <c r="L28" s="82">
        <v>0</v>
      </c>
      <c r="M28" s="80">
        <f t="shared" ref="M28:M29" si="17">H28-K28</f>
        <v>0</v>
      </c>
      <c r="N28" s="83" t="s">
        <v>39</v>
      </c>
      <c r="O28" s="105" t="s">
        <v>61</v>
      </c>
    </row>
    <row r="29" spans="1:15" s="5" customFormat="1" ht="65" customHeight="1" thickBot="1" x14ac:dyDescent="0.25">
      <c r="A29" s="108">
        <v>19</v>
      </c>
      <c r="B29" s="109" t="s">
        <v>38</v>
      </c>
      <c r="C29" s="110">
        <v>0</v>
      </c>
      <c r="D29" s="111">
        <v>0</v>
      </c>
      <c r="E29" s="111">
        <f t="shared" si="15"/>
        <v>0</v>
      </c>
      <c r="F29" s="110">
        <v>72</v>
      </c>
      <c r="G29" s="111">
        <v>110</v>
      </c>
      <c r="H29" s="111">
        <f t="shared" ref="H29" si="18">F29*G29</f>
        <v>7920</v>
      </c>
      <c r="I29" s="112" t="s">
        <v>39</v>
      </c>
      <c r="J29" s="112" t="s">
        <v>39</v>
      </c>
      <c r="K29" s="113">
        <f t="shared" si="16"/>
        <v>7920</v>
      </c>
      <c r="L29" s="114">
        <v>0</v>
      </c>
      <c r="M29" s="113">
        <f t="shared" si="17"/>
        <v>0</v>
      </c>
      <c r="N29" s="115" t="s">
        <v>39</v>
      </c>
      <c r="O29" s="116" t="s">
        <v>62</v>
      </c>
    </row>
    <row r="30" spans="1:15" s="5" customFormat="1" ht="18" customHeight="1" thickBot="1" x14ac:dyDescent="0.25">
      <c r="A30" s="66" t="s">
        <v>15</v>
      </c>
      <c r="B30" s="67"/>
      <c r="C30" s="67"/>
      <c r="D30" s="68"/>
      <c r="E30" s="14">
        <f>SUM(E11:E29)</f>
        <v>21890</v>
      </c>
      <c r="F30" s="15"/>
      <c r="G30" s="16"/>
      <c r="H30" s="17">
        <f>SUM(H11:H29)</f>
        <v>20430</v>
      </c>
      <c r="I30" s="69"/>
      <c r="J30" s="70"/>
      <c r="K30" s="18">
        <f>SUM(K11:K29)</f>
        <v>11835</v>
      </c>
      <c r="L30" s="18"/>
      <c r="M30" s="18">
        <f>SUM(M11:M29)</f>
        <v>8595</v>
      </c>
      <c r="N30"/>
      <c r="O30"/>
    </row>
    <row r="31" spans="1:15" s="5" customFormat="1" ht="18" customHeight="1" thickBot="1" x14ac:dyDescent="0.25">
      <c r="A31" s="58" t="s">
        <v>16</v>
      </c>
      <c r="B31" s="59"/>
      <c r="C31" s="59"/>
      <c r="D31" s="60"/>
      <c r="E31" s="19">
        <v>0</v>
      </c>
      <c r="F31" s="20"/>
      <c r="G31" s="21"/>
      <c r="H31" s="19">
        <v>0</v>
      </c>
      <c r="I31" s="76"/>
      <c r="J31" s="77"/>
      <c r="K31" s="22">
        <v>0</v>
      </c>
      <c r="L31" s="22"/>
      <c r="M31" s="22">
        <v>0</v>
      </c>
      <c r="N31"/>
      <c r="O31"/>
    </row>
    <row r="32" spans="1:15" s="5" customFormat="1" ht="18" customHeight="1" thickBot="1" x14ac:dyDescent="0.25">
      <c r="A32" s="71" t="s">
        <v>14</v>
      </c>
      <c r="B32" s="72"/>
      <c r="C32" s="72"/>
      <c r="D32" s="73"/>
      <c r="E32" s="23">
        <f>SUM(E30:E31)</f>
        <v>21890</v>
      </c>
      <c r="F32" s="24"/>
      <c r="G32" s="25"/>
      <c r="H32" s="23">
        <f>SUM(H30,H31)</f>
        <v>20430</v>
      </c>
      <c r="I32" s="74"/>
      <c r="J32" s="75"/>
      <c r="K32" s="26">
        <f>SUM(K30:K31)</f>
        <v>11835</v>
      </c>
      <c r="L32" s="26"/>
      <c r="M32" s="26">
        <f>SUM(M30:M31)</f>
        <v>8595</v>
      </c>
      <c r="N32"/>
      <c r="O32"/>
    </row>
    <row r="33" spans="1:14" ht="12.75" customHeight="1" x14ac:dyDescent="0.2">
      <c r="A33" s="65"/>
      <c r="B33" s="6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5" spans="1:14" x14ac:dyDescent="0.2">
      <c r="B35" s="28" t="s">
        <v>17</v>
      </c>
      <c r="C35" s="29"/>
      <c r="D35" s="30"/>
      <c r="E35" s="34">
        <f>E32</f>
        <v>21890</v>
      </c>
    </row>
    <row r="36" spans="1:14" x14ac:dyDescent="0.2">
      <c r="B36" s="31"/>
      <c r="C36" s="32"/>
      <c r="D36" s="33"/>
      <c r="E36" s="48"/>
    </row>
    <row r="37" spans="1:14" x14ac:dyDescent="0.2">
      <c r="H37" s="27"/>
    </row>
    <row r="38" spans="1:14" x14ac:dyDescent="0.2">
      <c r="B38" s="28" t="s">
        <v>18</v>
      </c>
      <c r="C38" s="29"/>
      <c r="D38" s="30"/>
      <c r="E38" s="34">
        <f>H32</f>
        <v>20430</v>
      </c>
    </row>
    <row r="39" spans="1:14" x14ac:dyDescent="0.2">
      <c r="B39" s="31"/>
      <c r="C39" s="32"/>
      <c r="D39" s="33"/>
      <c r="E39" s="48"/>
    </row>
    <row r="41" spans="1:14" x14ac:dyDescent="0.2">
      <c r="B41" s="28" t="s">
        <v>19</v>
      </c>
      <c r="C41" s="29"/>
      <c r="D41" s="30"/>
      <c r="E41" s="34">
        <f>K32</f>
        <v>11835</v>
      </c>
    </row>
    <row r="42" spans="1:14" x14ac:dyDescent="0.2">
      <c r="B42" s="31"/>
      <c r="C42" s="32"/>
      <c r="D42" s="33"/>
      <c r="E42" s="48"/>
      <c r="I42" s="8"/>
      <c r="J42" s="8"/>
      <c r="K42" s="8"/>
      <c r="L42" s="8"/>
    </row>
    <row r="43" spans="1:14" x14ac:dyDescent="0.2">
      <c r="I43" s="8"/>
      <c r="J43" s="8"/>
      <c r="K43" s="8"/>
      <c r="L43" s="8"/>
    </row>
    <row r="44" spans="1:14" x14ac:dyDescent="0.2">
      <c r="B44" s="28" t="s">
        <v>20</v>
      </c>
      <c r="C44" s="29"/>
      <c r="D44" s="30"/>
      <c r="E44" s="34">
        <f>M32</f>
        <v>8595</v>
      </c>
    </row>
    <row r="45" spans="1:14" x14ac:dyDescent="0.2">
      <c r="B45" s="31"/>
      <c r="C45" s="32"/>
      <c r="D45" s="33"/>
      <c r="E45" s="35"/>
    </row>
  </sheetData>
  <mergeCells count="33">
    <mergeCell ref="A31:D31"/>
    <mergeCell ref="I31:J31"/>
    <mergeCell ref="A32:D32"/>
    <mergeCell ref="I32:J32"/>
    <mergeCell ref="O9:O10"/>
    <mergeCell ref="I9:I10"/>
    <mergeCell ref="J9:J10"/>
    <mergeCell ref="K9:K10"/>
    <mergeCell ref="M9:M10"/>
    <mergeCell ref="N9:N10"/>
    <mergeCell ref="C9:E9"/>
    <mergeCell ref="B9:B10"/>
    <mergeCell ref="A30:D30"/>
    <mergeCell ref="I30:J30"/>
    <mergeCell ref="L9:L10"/>
    <mergeCell ref="B41:D42"/>
    <mergeCell ref="E41:E42"/>
    <mergeCell ref="A1:E1"/>
    <mergeCell ref="A2:E2"/>
    <mergeCell ref="A3:E3"/>
    <mergeCell ref="A4:E4"/>
    <mergeCell ref="A5:E5"/>
    <mergeCell ref="E35:E36"/>
    <mergeCell ref="E38:E39"/>
    <mergeCell ref="G4:H5"/>
    <mergeCell ref="A33:B33"/>
    <mergeCell ref="F9:H9"/>
    <mergeCell ref="A9:A10"/>
    <mergeCell ref="A8:O8"/>
    <mergeCell ref="B44:D45"/>
    <mergeCell ref="E44:E45"/>
    <mergeCell ref="B35:D36"/>
    <mergeCell ref="B38:D39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2025-10-02T14:53:25Z</dcterms:modified>
  <cp:category/>
  <cp:contentStatus/>
</cp:coreProperties>
</file>