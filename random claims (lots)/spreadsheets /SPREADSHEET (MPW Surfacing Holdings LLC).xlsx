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MPW Surfacing Holdings LLC/"/>
    </mc:Choice>
  </mc:AlternateContent>
  <xr:revisionPtr revIDLastSave="0" documentId="13_ncr:1_{7FE1C14C-17C7-5D42-873A-BB5C6201F56F}" xr6:coauthVersionLast="47" xr6:coauthVersionMax="47" xr10:uidLastSave="{00000000-0000-0000-0000-000000000000}"/>
  <bookViews>
    <workbookView xWindow="2580" yWindow="2680" windowWidth="2880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2" i="1" l="1"/>
  <c r="H25" i="1"/>
  <c r="E25" i="1"/>
  <c r="H26" i="1"/>
  <c r="K26" i="1" s="1"/>
  <c r="M26" i="1" s="1"/>
  <c r="E26" i="1"/>
  <c r="H24" i="1"/>
  <c r="E24" i="1"/>
  <c r="H23" i="1"/>
  <c r="E23" i="1"/>
  <c r="H22" i="1"/>
  <c r="E22" i="1"/>
  <c r="H21" i="1"/>
  <c r="E21" i="1"/>
  <c r="L20" i="1"/>
  <c r="H20" i="1"/>
  <c r="E20" i="1"/>
  <c r="H11" i="1"/>
  <c r="L11" i="1"/>
  <c r="L12" i="1"/>
  <c r="L13" i="1"/>
  <c r="L14" i="1"/>
  <c r="L15" i="1"/>
  <c r="L16" i="1"/>
  <c r="L17" i="1"/>
  <c r="L18" i="1"/>
  <c r="L19" i="1"/>
  <c r="E13" i="1"/>
  <c r="H13" i="1"/>
  <c r="E14" i="1"/>
  <c r="H14" i="1"/>
  <c r="E15" i="1"/>
  <c r="H15" i="1"/>
  <c r="E16" i="1"/>
  <c r="H16" i="1"/>
  <c r="E17" i="1"/>
  <c r="H17" i="1"/>
  <c r="E18" i="1"/>
  <c r="H18" i="1"/>
  <c r="E19" i="1"/>
  <c r="H19" i="1"/>
  <c r="E11" i="1"/>
  <c r="K13" i="1" l="1"/>
  <c r="K14" i="1"/>
  <c r="M14" i="1" s="1"/>
  <c r="K15" i="1"/>
  <c r="M15" i="1" s="1"/>
  <c r="K17" i="1"/>
  <c r="M17" i="1" s="1"/>
  <c r="K25" i="1"/>
  <c r="M25" i="1" s="1"/>
  <c r="K19" i="1"/>
  <c r="M19" i="1" s="1"/>
  <c r="K18" i="1"/>
  <c r="M18" i="1" s="1"/>
  <c r="K22" i="1"/>
  <c r="M22" i="1" s="1"/>
  <c r="K16" i="1"/>
  <c r="M16" i="1" s="1"/>
  <c r="K24" i="1"/>
  <c r="M24" i="1" s="1"/>
  <c r="K21" i="1"/>
  <c r="M21" i="1" s="1"/>
  <c r="K23" i="1"/>
  <c r="M23" i="1" s="1"/>
  <c r="K20" i="1"/>
  <c r="M20" i="1" s="1"/>
  <c r="K11" i="1"/>
  <c r="M13" i="1"/>
  <c r="E12" i="1" l="1"/>
  <c r="H12" i="1"/>
  <c r="K12" i="1" s="1"/>
  <c r="E27" i="1" l="1"/>
  <c r="E29" i="1" s="1"/>
  <c r="M12" i="1"/>
  <c r="H27" i="1" l="1"/>
  <c r="H29" i="1" s="1"/>
  <c r="E35" i="1" s="1"/>
  <c r="K27" i="1"/>
  <c r="K29" i="1" s="1"/>
  <c r="E38" i="1" s="1"/>
  <c r="M11" i="1" l="1"/>
  <c r="M27" i="1" s="1"/>
  <c r="M29" i="1" s="1"/>
  <c r="E41" i="1" s="1"/>
</calcChain>
</file>

<file path=xl/sharedStrings.xml><?xml version="1.0" encoding="utf-8"?>
<sst xmlns="http://schemas.openxmlformats.org/spreadsheetml/2006/main" count="90" uniqueCount="60">
  <si>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</si>
  <si>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</si>
  <si>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</si>
  <si>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</si>
  <si>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</si>
  <si>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</si>
  <si>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</si>
  <si>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</si>
  <si>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</si>
  <si>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</si>
  <si>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</si>
  <si>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</si>
  <si>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</si>
  <si>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</si>
  <si>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</si>
  <si>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SALES TAX</t>
  </si>
  <si>
    <t>TOTAL PRESENTED</t>
  </si>
  <si>
    <t>TOTAL RESEARCHED RCV</t>
  </si>
  <si>
    <t>TOTAL ACV</t>
  </si>
  <si>
    <t>TOTAL DEPRECIATION</t>
  </si>
  <si>
    <t>INSURED: MPW SURFACING HOLDINGS LLC</t>
  </si>
  <si>
    <t xml:space="preserve">LSG MATTER #: 426600.4049-00 </t>
  </si>
  <si>
    <t>CLAIM #: 85-00746467</t>
  </si>
  <si>
    <t>DATE OF LOSS: 11/5/2024</t>
  </si>
  <si>
    <t>CAUSE OF LOSS: TRANSIT</t>
  </si>
  <si>
    <t>FLOW INTERNATIONAL CORPORATION (800-526-4810) QUOTE # QU158699-2</t>
  </si>
  <si>
    <t>FILTER ELEMENT</t>
  </si>
  <si>
    <t>FILTER HOUSING</t>
  </si>
  <si>
    <t xml:space="preserve">FILTER ELEMENT </t>
  </si>
  <si>
    <t>MAINTENANCE KIT (HYPLEX PRIME)</t>
  </si>
  <si>
    <t>BATTERIES (3.6V LITHIUM)</t>
  </si>
  <si>
    <t>TOOL (INST / RMV (PLUNGER NUT</t>
  </si>
  <si>
    <t>CLAMP; REBUILD CHK VAV BODY</t>
  </si>
  <si>
    <t>SPARES KIT; SEAL; ON/OFF VLV</t>
  </si>
  <si>
    <t>MAINTENANCE KIT; VCM ASSIST</t>
  </si>
  <si>
    <t>NUT; MIXING TUBE</t>
  </si>
  <si>
    <t>AIRFARE - TBD BASED ON TEC USED</t>
  </si>
  <si>
    <t>PER DIEM</t>
  </si>
  <si>
    <t xml:space="preserve">PER DIEM FOR FIVE DAYS OF TRAVEL </t>
  </si>
  <si>
    <t>LODGING</t>
  </si>
  <si>
    <t>RENTAL CAR PER DAY</t>
  </si>
  <si>
    <t xml:space="preserve">A RENTAL CAR FOR FIVE DAYS. </t>
  </si>
  <si>
    <t>ESTIMATED SERVICE HOURS</t>
  </si>
  <si>
    <t>ESTIMATED SERVICE TRAVEL HOURS</t>
  </si>
  <si>
    <t>AVERAGE</t>
  </si>
  <si>
    <t>WATER FILTER HOUSING (TEN (10) INCHES LONG)</t>
  </si>
  <si>
    <t xml:space="preserve">FIVE (5) REPLACEMENT 3.6 VOLT LITHIUM-ION BATTERIES. </t>
  </si>
  <si>
    <t>REQUIRED MAINTENANCE KIT TO REBUILD THE HIGH PRESSURE HYPLEX PRIME PUMP.</t>
  </si>
  <si>
    <t>N/A</t>
  </si>
  <si>
    <t>REBUILD KIT TO FIX THE CHECK VALVE BODY. 2.3 INCHES.</t>
  </si>
  <si>
    <t xml:space="preserve">REBUILD KIT ON THE ON / OFF VALVE LOCATED ON THE INTRICATE CUTTING HEAD. </t>
  </si>
  <si>
    <t xml:space="preserve">MIXING TUBE PART FOR CUTTING HEAD. </t>
  </si>
  <si>
    <t xml:space="preserve">ESTIMATED AIRFARE TO FLY TO A FLOW TECHNICIAN IN TO PERFORM THE REPAIR JOB. </t>
  </si>
  <si>
    <t xml:space="preserve">LODGING FOR ONE TECHNICIAN FOR FOUR (4) NIGHTS. </t>
  </si>
  <si>
    <t>ESTIMATED SERVICE HOURS FOR ONE TECHNICIAN FOR ROUGHLY THREE DAYS OF WORK.</t>
  </si>
  <si>
    <t xml:space="preserve">ESTIMATED SERVICE TRAVEL HOURS FOR SIXTEEN (16) HOURS. </t>
  </si>
  <si>
    <t xml:space="preserve">INTERNAL PARTS AND KIT TO REBUILT THE ULTRA HIGH PRESSURE HYPLEX PRIME PUMP. WITH VENDOR MARK UP ON MATERIALS. </t>
  </si>
  <si>
    <t>FILTER ELEMENT TO FILTER DOWN TO. 0.5 MICRONS, TEN (10) INCH LONG, DISPOSABLE. (CHANGE ONCE TO TWICE A YEAR)</t>
  </si>
  <si>
    <t>FILTER ELEMENT TO FILTER DOWN TO. 1.0 MICRONS, TEN (10) INCH LONG, DISPOSABLE. (CHANGE ONCE TO TWICE A YEAR)</t>
  </si>
  <si>
    <t xml:space="preserve">MAINTENANCE KIT FOR THE VACUUM ASSIST PORTION OF THE INTRICATE CUTTING HEAD.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</si>
</sst>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01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44" fontId="6" fillId="2" borderId="13" xfId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15" xfId="1" applyFont="1" applyFill="1" applyBorder="1" applyAlignment="1"/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15" xfId="1" applyFont="1" applyFill="1" applyBorder="1" applyAlignment="1"/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44" fontId="7" fillId="0" borderId="0" xfId="0" applyNumberFormat="1" applyFont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44" fontId="6" fillId="0" borderId="13" xfId="0" applyNumberFormat="1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left" wrapText="1"/>
    </xf>
    <xf numFmtId="44" fontId="7" fillId="2" borderId="16" xfId="1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/>
    </xf>
    <xf numFmtId="9" fontId="7" fillId="2" borderId="16" xfId="6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 wrapText="1"/>
    </xf>
    <xf numFmtId="0" fontId="7" fillId="0" borderId="16" xfId="0" applyFont="1" applyBorder="1" applyAlignment="1">
      <alignment horizontal="left" wrapText="1"/>
    </xf>
    <xf numFmtId="44" fontId="7" fillId="0" borderId="16" xfId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left" wrapText="1"/>
    </xf>
    <xf numFmtId="0" fontId="7" fillId="2" borderId="18" xfId="0" applyFont="1" applyFill="1" applyBorder="1" applyAlignment="1">
      <alignment horizontal="center"/>
    </xf>
    <xf numFmtId="44" fontId="7" fillId="2" borderId="18" xfId="1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/>
    </xf>
    <xf numFmtId="9" fontId="7" fillId="2" borderId="18" xfId="6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left" wrapText="1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left" wrapText="1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left" wrapText="1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left" wrapText="1"/>
    </xf>
    <xf numFmtId="0" fontId="7" fillId="2" borderId="23" xfId="0" applyFont="1" applyFill="1" applyBorder="1" applyAlignment="1">
      <alignment horizontal="center"/>
    </xf>
    <xf numFmtId="44" fontId="7" fillId="2" borderId="23" xfId="1" applyFont="1" applyFill="1" applyBorder="1" applyAlignment="1">
      <alignment horizontal="center"/>
    </xf>
    <xf numFmtId="0" fontId="7" fillId="2" borderId="23" xfId="1" applyNumberFormat="1" applyFont="1" applyFill="1" applyBorder="1" applyAlignment="1">
      <alignment horizontal="center"/>
    </xf>
    <xf numFmtId="9" fontId="7" fillId="2" borderId="23" xfId="6" applyFont="1" applyFill="1" applyBorder="1" applyAlignment="1">
      <alignment horizontal="center"/>
    </xf>
    <xf numFmtId="0" fontId="7" fillId="2" borderId="23" xfId="1" applyNumberFormat="1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left" wrapText="1"/>
    </xf>
    <xf numFmtId="0" fontId="2" fillId="0" borderId="0" xfId="0" applyFont="1"/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2"/>
  <sheetViews>
    <sheetView tabSelected="1" zoomScale="80" zoomScaleNormal="80" zoomScalePageLayoutView="90" workbookViewId="0">
      <selection activeCell="O19" sqref="O19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4" customWidth="1"/>
    <col min="4" max="5" width="17.6640625" style="4" customWidth="1"/>
    <col min="6" max="6" width="5.6640625" style="4" customWidth="1"/>
    <col min="7" max="8" width="17.6640625" style="4" customWidth="1"/>
    <col min="9" max="10" width="9.6640625" style="4" customWidth="1"/>
    <col min="11" max="13" width="17.6640625" style="4" customWidth="1"/>
    <col min="14" max="14" width="13.6640625" style="4" customWidth="1"/>
    <col min="15" max="15" width="47.6640625" style="8" customWidth="1"/>
    <col min="16" max="17" width="8.83203125" style="3"/>
    <col min="18" max="18" width="9.6640625" style="3" bestFit="1" customWidth="1"/>
    <col min="19" max="16384" width="8.83203125" style="3"/>
  </cols>
  <sheetData>
    <row r="1" spans="1:18" ht="15.75" customHeight="1" x14ac:dyDescent="0.2">
      <c r="A1" s="48" t="s">
        <v>20</v>
      </c>
      <c r="B1" s="49"/>
      <c r="C1" s="49"/>
      <c r="D1" s="49"/>
      <c r="E1" s="50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8" ht="15.75" customHeight="1" x14ac:dyDescent="0.2">
      <c r="A2" s="51" t="s">
        <v>21</v>
      </c>
      <c r="B2" s="52"/>
      <c r="C2" s="52"/>
      <c r="D2" s="52"/>
      <c r="E2" s="53"/>
      <c r="F2" s="1"/>
      <c r="G2"/>
      <c r="H2"/>
      <c r="I2"/>
      <c r="J2" s="1"/>
      <c r="K2" s="1"/>
      <c r="M2" s="1"/>
      <c r="N2" s="1"/>
      <c r="O2" s="2"/>
      <c r="P2" s="2"/>
    </row>
    <row r="3" spans="1:18" ht="15.75" customHeight="1" x14ac:dyDescent="0.2">
      <c r="A3" s="51" t="s">
        <v>22</v>
      </c>
      <c r="B3" s="52"/>
      <c r="C3" s="52"/>
      <c r="D3" s="52"/>
      <c r="E3" s="53"/>
      <c r="F3" s="1"/>
      <c r="G3"/>
      <c r="H3"/>
      <c r="I3"/>
      <c r="J3" s="1"/>
      <c r="K3" s="1"/>
      <c r="L3"/>
      <c r="M3" s="1"/>
      <c r="N3" s="1"/>
      <c r="O3" s="5"/>
      <c r="P3" s="5"/>
    </row>
    <row r="4" spans="1:18" ht="15.75" customHeight="1" x14ac:dyDescent="0.2">
      <c r="A4" s="51" t="s">
        <v>23</v>
      </c>
      <c r="B4" s="52"/>
      <c r="C4" s="52"/>
      <c r="D4" s="52"/>
      <c r="E4" s="53"/>
      <c r="F4" s="6"/>
      <c r="G4"/>
      <c r="H4"/>
      <c r="I4"/>
      <c r="J4" s="7"/>
      <c r="K4" s="7"/>
      <c r="L4" s="1"/>
      <c r="O4" s="3"/>
    </row>
    <row r="5" spans="1:18" ht="15.75" customHeight="1" thickBot="1" x14ac:dyDescent="0.25">
      <c r="A5" s="54" t="s">
        <v>24</v>
      </c>
      <c r="B5" s="55"/>
      <c r="C5" s="55"/>
      <c r="D5" s="55"/>
      <c r="E5" s="56"/>
      <c r="F5" s="1"/>
      <c r="G5"/>
      <c r="H5" s="100"/>
      <c r="I5"/>
      <c r="J5" s="1"/>
      <c r="K5" s="1"/>
      <c r="L5" s="1"/>
      <c r="O5" s="3"/>
    </row>
    <row r="6" spans="1:18" x14ac:dyDescent="0.2">
      <c r="G6"/>
      <c r="H6"/>
      <c r="I6"/>
    </row>
    <row r="7" spans="1:18" ht="17" thickBot="1" x14ac:dyDescent="0.25"/>
    <row r="8" spans="1:18" s="9" customFormat="1" ht="25.5" customHeight="1" x14ac:dyDescent="0.15">
      <c r="A8" s="35" t="s">
        <v>25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7"/>
    </row>
    <row r="9" spans="1:18" ht="24" customHeight="1" x14ac:dyDescent="0.2">
      <c r="A9" s="38" t="s">
        <v>0</v>
      </c>
      <c r="B9" s="40" t="s">
        <v>1</v>
      </c>
      <c r="C9" s="42" t="s">
        <v>2</v>
      </c>
      <c r="D9" s="43"/>
      <c r="E9" s="44"/>
      <c r="F9" s="42" t="s">
        <v>3</v>
      </c>
      <c r="G9" s="43"/>
      <c r="H9" s="44"/>
      <c r="I9" s="45" t="s">
        <v>4</v>
      </c>
      <c r="J9" s="45" t="s">
        <v>5</v>
      </c>
      <c r="K9" s="45" t="s">
        <v>6</v>
      </c>
      <c r="L9" s="45" t="s">
        <v>7</v>
      </c>
      <c r="M9" s="45" t="s">
        <v>8</v>
      </c>
      <c r="N9" s="45" t="s">
        <v>9</v>
      </c>
      <c r="O9" s="38" t="s">
        <v>10</v>
      </c>
    </row>
    <row r="10" spans="1:18" s="4" customFormat="1" ht="24" customHeight="1" thickBot="1" x14ac:dyDescent="0.25">
      <c r="A10" s="39"/>
      <c r="B10" s="41"/>
      <c r="C10" s="11" t="s">
        <v>11</v>
      </c>
      <c r="D10" s="10" t="s">
        <v>12</v>
      </c>
      <c r="E10" s="12" t="s">
        <v>13</v>
      </c>
      <c r="F10" s="12" t="s">
        <v>11</v>
      </c>
      <c r="G10" s="12" t="s">
        <v>12</v>
      </c>
      <c r="H10" s="12" t="s">
        <v>13</v>
      </c>
      <c r="I10" s="46"/>
      <c r="J10" s="46"/>
      <c r="K10" s="46"/>
      <c r="L10" s="46"/>
      <c r="M10" s="46"/>
      <c r="N10" s="46"/>
      <c r="O10" s="39"/>
    </row>
    <row r="11" spans="1:18" s="4" customFormat="1" ht="65" customHeight="1" x14ac:dyDescent="0.2">
      <c r="A11" s="80">
        <v>1</v>
      </c>
      <c r="B11" s="81" t="s">
        <v>27</v>
      </c>
      <c r="C11" s="82">
        <v>2</v>
      </c>
      <c r="D11" s="83">
        <v>40.950000000000003</v>
      </c>
      <c r="E11" s="83">
        <f>C11*D11</f>
        <v>81.900000000000006</v>
      </c>
      <c r="F11" s="82">
        <v>2</v>
      </c>
      <c r="G11" s="83">
        <v>40.950000000000003</v>
      </c>
      <c r="H11" s="83">
        <f>F11*G11</f>
        <v>81.900000000000006</v>
      </c>
      <c r="I11" s="84">
        <v>4</v>
      </c>
      <c r="J11" s="84">
        <v>20</v>
      </c>
      <c r="K11" s="83">
        <f>H11*(1-L11)</f>
        <v>65.52000000000001</v>
      </c>
      <c r="L11" s="85">
        <f>IF((I11/J11)&gt;=0.75,0.75,IF((I11/J11)&gt;=0,(I11/J11),IF((I11/J11)&lt;=1,0)))</f>
        <v>0.2</v>
      </c>
      <c r="M11" s="83">
        <f>H11-K11</f>
        <v>16.379999999999995</v>
      </c>
      <c r="N11" s="86" t="s">
        <v>44</v>
      </c>
      <c r="O11" s="87" t="s">
        <v>45</v>
      </c>
      <c r="R11" s="26"/>
    </row>
    <row r="12" spans="1:18" s="4" customFormat="1" ht="65" customHeight="1" x14ac:dyDescent="0.2">
      <c r="A12" s="88">
        <v>2</v>
      </c>
      <c r="B12" s="76" t="s">
        <v>26</v>
      </c>
      <c r="C12" s="70">
        <v>2</v>
      </c>
      <c r="D12" s="77">
        <v>39.950000000000003</v>
      </c>
      <c r="E12" s="77">
        <f t="shared" ref="E12:E19" si="0">C12*D12</f>
        <v>79.900000000000006</v>
      </c>
      <c r="F12" s="70">
        <v>2</v>
      </c>
      <c r="G12" s="77">
        <v>39.950000000000003</v>
      </c>
      <c r="H12" s="77">
        <f t="shared" ref="H12" si="1">F12*G12</f>
        <v>79.900000000000006</v>
      </c>
      <c r="I12" s="78">
        <v>4</v>
      </c>
      <c r="J12" s="78">
        <v>1</v>
      </c>
      <c r="K12" s="72">
        <f t="shared" ref="K12:K19" si="2">H12*(1-L12)</f>
        <v>19.975000000000001</v>
      </c>
      <c r="L12" s="74">
        <f t="shared" ref="L12:L19" si="3">IF((I12/J12)&gt;=0.75,0.75,IF((I12/J12)&gt;=0.1,(I12/J12),IF((I12/J12)&lt;=0.1,0.1)))</f>
        <v>0.75</v>
      </c>
      <c r="M12" s="72">
        <f t="shared" ref="M12:M19" si="4">H12-K12</f>
        <v>59.925000000000004</v>
      </c>
      <c r="N12" s="79" t="s">
        <v>44</v>
      </c>
      <c r="O12" s="89" t="s">
        <v>57</v>
      </c>
    </row>
    <row r="13" spans="1:18" s="4" customFormat="1" ht="65" customHeight="1" x14ac:dyDescent="0.2">
      <c r="A13" s="90">
        <v>3</v>
      </c>
      <c r="B13" s="71" t="s">
        <v>28</v>
      </c>
      <c r="C13" s="70">
        <v>2</v>
      </c>
      <c r="D13" s="77">
        <v>39.950000000000003</v>
      </c>
      <c r="E13" s="72">
        <f t="shared" si="0"/>
        <v>79.900000000000006</v>
      </c>
      <c r="F13" s="70">
        <v>2</v>
      </c>
      <c r="G13" s="77">
        <v>39.950000000000003</v>
      </c>
      <c r="H13" s="72">
        <f>F13*G13</f>
        <v>79.900000000000006</v>
      </c>
      <c r="I13" s="78">
        <v>4</v>
      </c>
      <c r="J13" s="78">
        <v>1</v>
      </c>
      <c r="K13" s="72">
        <f t="shared" si="2"/>
        <v>19.975000000000001</v>
      </c>
      <c r="L13" s="74">
        <f t="shared" si="3"/>
        <v>0.75</v>
      </c>
      <c r="M13" s="72">
        <f t="shared" si="4"/>
        <v>59.925000000000004</v>
      </c>
      <c r="N13" s="75" t="s">
        <v>44</v>
      </c>
      <c r="O13" s="89" t="s">
        <v>58</v>
      </c>
    </row>
    <row r="14" spans="1:18" s="4" customFormat="1" ht="79" customHeight="1" x14ac:dyDescent="0.2">
      <c r="A14" s="88">
        <v>4</v>
      </c>
      <c r="B14" s="76" t="s">
        <v>29</v>
      </c>
      <c r="C14" s="70">
        <v>1</v>
      </c>
      <c r="D14" s="77">
        <v>4636.95</v>
      </c>
      <c r="E14" s="77">
        <f t="shared" si="0"/>
        <v>4636.95</v>
      </c>
      <c r="F14" s="70">
        <v>1</v>
      </c>
      <c r="G14" s="77">
        <v>4636.95</v>
      </c>
      <c r="H14" s="77">
        <f t="shared" ref="H14" si="5">F14*G14</f>
        <v>4636.95</v>
      </c>
      <c r="I14" s="78">
        <v>4</v>
      </c>
      <c r="J14" s="78">
        <v>20</v>
      </c>
      <c r="K14" s="72">
        <f t="shared" si="2"/>
        <v>3709.56</v>
      </c>
      <c r="L14" s="74">
        <f t="shared" si="3"/>
        <v>0.2</v>
      </c>
      <c r="M14" s="72">
        <f t="shared" si="4"/>
        <v>927.38999999999987</v>
      </c>
      <c r="N14" s="79" t="s">
        <v>44</v>
      </c>
      <c r="O14" s="89" t="s">
        <v>56</v>
      </c>
    </row>
    <row r="15" spans="1:18" s="4" customFormat="1" ht="65" customHeight="1" x14ac:dyDescent="0.2">
      <c r="A15" s="90">
        <v>5</v>
      </c>
      <c r="B15" s="71" t="s">
        <v>30</v>
      </c>
      <c r="C15" s="70">
        <v>5</v>
      </c>
      <c r="D15" s="72">
        <v>51.95</v>
      </c>
      <c r="E15" s="72">
        <f t="shared" si="0"/>
        <v>259.75</v>
      </c>
      <c r="F15" s="70">
        <v>5</v>
      </c>
      <c r="G15" s="72">
        <v>51.95</v>
      </c>
      <c r="H15" s="72">
        <f>F15*G15</f>
        <v>259.75</v>
      </c>
      <c r="I15" s="73">
        <v>4</v>
      </c>
      <c r="J15" s="78">
        <v>20</v>
      </c>
      <c r="K15" s="72">
        <f t="shared" si="2"/>
        <v>207.8</v>
      </c>
      <c r="L15" s="74">
        <f t="shared" si="3"/>
        <v>0.2</v>
      </c>
      <c r="M15" s="72">
        <f t="shared" si="4"/>
        <v>51.949999999999989</v>
      </c>
      <c r="N15" s="75" t="s">
        <v>44</v>
      </c>
      <c r="O15" s="91" t="s">
        <v>46</v>
      </c>
    </row>
    <row r="16" spans="1:18" s="4" customFormat="1" ht="65" customHeight="1" x14ac:dyDescent="0.2">
      <c r="A16" s="88">
        <v>6</v>
      </c>
      <c r="B16" s="76" t="s">
        <v>31</v>
      </c>
      <c r="C16" s="70">
        <v>1</v>
      </c>
      <c r="D16" s="77">
        <v>450.95</v>
      </c>
      <c r="E16" s="77">
        <f t="shared" si="0"/>
        <v>450.95</v>
      </c>
      <c r="F16" s="70">
        <v>1</v>
      </c>
      <c r="G16" s="77">
        <v>450.95</v>
      </c>
      <c r="H16" s="77">
        <f t="shared" ref="H16" si="6">F16*G16</f>
        <v>450.95</v>
      </c>
      <c r="I16" s="78">
        <v>4</v>
      </c>
      <c r="J16" s="78">
        <v>20</v>
      </c>
      <c r="K16" s="72">
        <f t="shared" si="2"/>
        <v>360.76</v>
      </c>
      <c r="L16" s="74">
        <f t="shared" si="3"/>
        <v>0.2</v>
      </c>
      <c r="M16" s="72">
        <f t="shared" si="4"/>
        <v>90.19</v>
      </c>
      <c r="N16" s="79" t="s">
        <v>44</v>
      </c>
      <c r="O16" s="89" t="s">
        <v>47</v>
      </c>
    </row>
    <row r="17" spans="1:15" s="4" customFormat="1" ht="65" customHeight="1" x14ac:dyDescent="0.2">
      <c r="A17" s="90">
        <v>7</v>
      </c>
      <c r="B17" s="71" t="s">
        <v>32</v>
      </c>
      <c r="C17" s="70">
        <v>1</v>
      </c>
      <c r="D17" s="72">
        <v>138.94999999999999</v>
      </c>
      <c r="E17" s="72">
        <f t="shared" si="0"/>
        <v>138.94999999999999</v>
      </c>
      <c r="F17" s="70">
        <v>1</v>
      </c>
      <c r="G17" s="72">
        <v>138.94999999999999</v>
      </c>
      <c r="H17" s="72">
        <f>F17*G17</f>
        <v>138.94999999999999</v>
      </c>
      <c r="I17" s="73">
        <v>4</v>
      </c>
      <c r="J17" s="73">
        <v>20</v>
      </c>
      <c r="K17" s="72">
        <f t="shared" si="2"/>
        <v>111.16</v>
      </c>
      <c r="L17" s="74">
        <f t="shared" si="3"/>
        <v>0.2</v>
      </c>
      <c r="M17" s="72">
        <f t="shared" si="4"/>
        <v>27.789999999999992</v>
      </c>
      <c r="N17" s="75" t="s">
        <v>44</v>
      </c>
      <c r="O17" s="91" t="s">
        <v>49</v>
      </c>
    </row>
    <row r="18" spans="1:15" s="4" customFormat="1" ht="65" customHeight="1" x14ac:dyDescent="0.2">
      <c r="A18" s="88">
        <v>8</v>
      </c>
      <c r="B18" s="76" t="s">
        <v>33</v>
      </c>
      <c r="C18" s="70">
        <v>2</v>
      </c>
      <c r="D18" s="77">
        <v>204.95</v>
      </c>
      <c r="E18" s="77">
        <f t="shared" si="0"/>
        <v>409.9</v>
      </c>
      <c r="F18" s="70">
        <v>2</v>
      </c>
      <c r="G18" s="77">
        <v>204.95</v>
      </c>
      <c r="H18" s="77">
        <f t="shared" ref="H18" si="7">F18*G18</f>
        <v>409.9</v>
      </c>
      <c r="I18" s="73">
        <v>4</v>
      </c>
      <c r="J18" s="73">
        <v>20</v>
      </c>
      <c r="K18" s="72">
        <f t="shared" si="2"/>
        <v>327.92</v>
      </c>
      <c r="L18" s="74">
        <f t="shared" si="3"/>
        <v>0.2</v>
      </c>
      <c r="M18" s="72">
        <f t="shared" si="4"/>
        <v>81.979999999999961</v>
      </c>
      <c r="N18" s="79" t="s">
        <v>44</v>
      </c>
      <c r="O18" s="89" t="s">
        <v>50</v>
      </c>
    </row>
    <row r="19" spans="1:15" s="4" customFormat="1" ht="65" customHeight="1" x14ac:dyDescent="0.2">
      <c r="A19" s="90">
        <v>9</v>
      </c>
      <c r="B19" s="71" t="s">
        <v>34</v>
      </c>
      <c r="C19" s="70">
        <v>1</v>
      </c>
      <c r="D19" s="72">
        <v>225.95</v>
      </c>
      <c r="E19" s="72">
        <f t="shared" si="0"/>
        <v>225.95</v>
      </c>
      <c r="F19" s="70">
        <v>1</v>
      </c>
      <c r="G19" s="72">
        <v>225.95</v>
      </c>
      <c r="H19" s="72">
        <f>F19*G19</f>
        <v>225.95</v>
      </c>
      <c r="I19" s="73">
        <v>4</v>
      </c>
      <c r="J19" s="73">
        <v>20</v>
      </c>
      <c r="K19" s="72">
        <f t="shared" si="2"/>
        <v>180.76</v>
      </c>
      <c r="L19" s="74">
        <f t="shared" si="3"/>
        <v>0.2</v>
      </c>
      <c r="M19" s="72">
        <f t="shared" si="4"/>
        <v>45.19</v>
      </c>
      <c r="N19" s="75" t="s">
        <v>44</v>
      </c>
      <c r="O19" s="91" t="s">
        <v>59</v>
      </c>
    </row>
    <row r="20" spans="1:15" s="4" customFormat="1" ht="65" customHeight="1" x14ac:dyDescent="0.2">
      <c r="A20" s="88">
        <v>10</v>
      </c>
      <c r="B20" s="76" t="s">
        <v>35</v>
      </c>
      <c r="C20" s="70">
        <v>2</v>
      </c>
      <c r="D20" s="77">
        <v>84.95</v>
      </c>
      <c r="E20" s="77">
        <f t="shared" ref="E20:E26" si="8">C20*D20</f>
        <v>169.9</v>
      </c>
      <c r="F20" s="70">
        <v>2</v>
      </c>
      <c r="G20" s="77">
        <v>84.95</v>
      </c>
      <c r="H20" s="77">
        <f t="shared" ref="H20" si="9">F20*G20</f>
        <v>169.9</v>
      </c>
      <c r="I20" s="73">
        <v>4</v>
      </c>
      <c r="J20" s="73">
        <v>20</v>
      </c>
      <c r="K20" s="72">
        <f t="shared" ref="K20:K26" si="10">H20*(1-L20)</f>
        <v>135.92000000000002</v>
      </c>
      <c r="L20" s="74">
        <f t="shared" ref="L20:L26" si="11">IF((I20/J20)&gt;=0.75,0.75,IF((I20/J20)&gt;=0.1,(I20/J20),IF((I20/J20)&lt;=0.1,0.1)))</f>
        <v>0.2</v>
      </c>
      <c r="M20" s="72">
        <f t="shared" ref="M20:M26" si="12">H20-K20</f>
        <v>33.97999999999999</v>
      </c>
      <c r="N20" s="79" t="s">
        <v>44</v>
      </c>
      <c r="O20" s="89" t="s">
        <v>51</v>
      </c>
    </row>
    <row r="21" spans="1:15" s="4" customFormat="1" ht="65" customHeight="1" x14ac:dyDescent="0.2">
      <c r="A21" s="90">
        <v>11</v>
      </c>
      <c r="B21" s="71" t="s">
        <v>36</v>
      </c>
      <c r="C21" s="70">
        <v>1</v>
      </c>
      <c r="D21" s="72">
        <v>1000</v>
      </c>
      <c r="E21" s="72">
        <f t="shared" si="8"/>
        <v>1000</v>
      </c>
      <c r="F21" s="70">
        <v>1</v>
      </c>
      <c r="G21" s="72">
        <v>1000</v>
      </c>
      <c r="H21" s="72">
        <f>F21*G21</f>
        <v>1000</v>
      </c>
      <c r="I21" s="73" t="s">
        <v>48</v>
      </c>
      <c r="J21" s="73" t="s">
        <v>48</v>
      </c>
      <c r="K21" s="72">
        <f t="shared" si="10"/>
        <v>1000</v>
      </c>
      <c r="L21" s="74">
        <v>0</v>
      </c>
      <c r="M21" s="72">
        <f t="shared" si="12"/>
        <v>0</v>
      </c>
      <c r="N21" s="75" t="s">
        <v>48</v>
      </c>
      <c r="O21" s="91" t="s">
        <v>52</v>
      </c>
    </row>
    <row r="22" spans="1:15" s="4" customFormat="1" ht="65" customHeight="1" x14ac:dyDescent="0.2">
      <c r="A22" s="88">
        <v>12</v>
      </c>
      <c r="B22" s="76" t="s">
        <v>37</v>
      </c>
      <c r="C22" s="70">
        <v>5</v>
      </c>
      <c r="D22" s="77">
        <v>80</v>
      </c>
      <c r="E22" s="77">
        <f t="shared" si="8"/>
        <v>400</v>
      </c>
      <c r="F22" s="70">
        <v>5</v>
      </c>
      <c r="G22" s="77">
        <v>80</v>
      </c>
      <c r="H22" s="77">
        <f t="shared" ref="H22" si="13">F22*G22</f>
        <v>400</v>
      </c>
      <c r="I22" s="78" t="s">
        <v>48</v>
      </c>
      <c r="J22" s="78" t="s">
        <v>48</v>
      </c>
      <c r="K22" s="72">
        <f t="shared" si="10"/>
        <v>400</v>
      </c>
      <c r="L22" s="74">
        <v>0</v>
      </c>
      <c r="M22" s="72">
        <f t="shared" si="12"/>
        <v>0</v>
      </c>
      <c r="N22" s="79" t="s">
        <v>48</v>
      </c>
      <c r="O22" s="89" t="s">
        <v>38</v>
      </c>
    </row>
    <row r="23" spans="1:15" s="4" customFormat="1" ht="65" customHeight="1" x14ac:dyDescent="0.2">
      <c r="A23" s="90">
        <v>13</v>
      </c>
      <c r="B23" s="71" t="s">
        <v>39</v>
      </c>
      <c r="C23" s="70">
        <v>4</v>
      </c>
      <c r="D23" s="72">
        <v>250</v>
      </c>
      <c r="E23" s="72">
        <f t="shared" si="8"/>
        <v>1000</v>
      </c>
      <c r="F23" s="70">
        <v>4</v>
      </c>
      <c r="G23" s="72">
        <v>250</v>
      </c>
      <c r="H23" s="72">
        <f>F23*G23</f>
        <v>1000</v>
      </c>
      <c r="I23" s="73" t="s">
        <v>48</v>
      </c>
      <c r="J23" s="73" t="s">
        <v>48</v>
      </c>
      <c r="K23" s="72">
        <f t="shared" si="10"/>
        <v>1000</v>
      </c>
      <c r="L23" s="74">
        <v>0</v>
      </c>
      <c r="M23" s="72">
        <f t="shared" si="12"/>
        <v>0</v>
      </c>
      <c r="N23" s="75" t="s">
        <v>48</v>
      </c>
      <c r="O23" s="91" t="s">
        <v>53</v>
      </c>
    </row>
    <row r="24" spans="1:15" s="4" customFormat="1" ht="65" customHeight="1" x14ac:dyDescent="0.2">
      <c r="A24" s="88">
        <v>14</v>
      </c>
      <c r="B24" s="76" t="s">
        <v>40</v>
      </c>
      <c r="C24" s="70">
        <v>5</v>
      </c>
      <c r="D24" s="77">
        <v>125</v>
      </c>
      <c r="E24" s="77">
        <f t="shared" si="8"/>
        <v>625</v>
      </c>
      <c r="F24" s="70">
        <v>5</v>
      </c>
      <c r="G24" s="77">
        <v>125</v>
      </c>
      <c r="H24" s="77">
        <f t="shared" ref="H24" si="14">F24*G24</f>
        <v>625</v>
      </c>
      <c r="I24" s="78" t="s">
        <v>48</v>
      </c>
      <c r="J24" s="78" t="s">
        <v>48</v>
      </c>
      <c r="K24" s="72">
        <f t="shared" si="10"/>
        <v>625</v>
      </c>
      <c r="L24" s="74">
        <v>0</v>
      </c>
      <c r="M24" s="72">
        <f t="shared" si="12"/>
        <v>0</v>
      </c>
      <c r="N24" s="79" t="s">
        <v>48</v>
      </c>
      <c r="O24" s="89" t="s">
        <v>41</v>
      </c>
    </row>
    <row r="25" spans="1:15" s="4" customFormat="1" ht="65" customHeight="1" x14ac:dyDescent="0.2">
      <c r="A25" s="90">
        <v>15</v>
      </c>
      <c r="B25" s="71" t="s">
        <v>42</v>
      </c>
      <c r="C25" s="70">
        <v>24</v>
      </c>
      <c r="D25" s="72">
        <v>205</v>
      </c>
      <c r="E25" s="72">
        <f t="shared" ref="E25" si="15">C25*D25</f>
        <v>4920</v>
      </c>
      <c r="F25" s="70">
        <v>24</v>
      </c>
      <c r="G25" s="72">
        <v>205</v>
      </c>
      <c r="H25" s="72">
        <f>F25*G25</f>
        <v>4920</v>
      </c>
      <c r="I25" s="73" t="s">
        <v>48</v>
      </c>
      <c r="J25" s="73" t="s">
        <v>48</v>
      </c>
      <c r="K25" s="72">
        <f t="shared" ref="K25" si="16">H25*(1-L25)</f>
        <v>4920</v>
      </c>
      <c r="L25" s="74">
        <v>0</v>
      </c>
      <c r="M25" s="72">
        <f t="shared" ref="M25" si="17">H25-K25</f>
        <v>0</v>
      </c>
      <c r="N25" s="75" t="s">
        <v>48</v>
      </c>
      <c r="O25" s="91" t="s">
        <v>54</v>
      </c>
    </row>
    <row r="26" spans="1:15" s="4" customFormat="1" ht="65" customHeight="1" thickBot="1" x14ac:dyDescent="0.25">
      <c r="A26" s="92">
        <v>16</v>
      </c>
      <c r="B26" s="93" t="s">
        <v>43</v>
      </c>
      <c r="C26" s="94">
        <v>16</v>
      </c>
      <c r="D26" s="95">
        <v>115</v>
      </c>
      <c r="E26" s="95">
        <f t="shared" si="8"/>
        <v>1840</v>
      </c>
      <c r="F26" s="94">
        <v>16</v>
      </c>
      <c r="G26" s="95">
        <v>115</v>
      </c>
      <c r="H26" s="95">
        <f>F26*G26</f>
        <v>1840</v>
      </c>
      <c r="I26" s="96" t="s">
        <v>48</v>
      </c>
      <c r="J26" s="96" t="s">
        <v>48</v>
      </c>
      <c r="K26" s="95">
        <f t="shared" si="10"/>
        <v>1840</v>
      </c>
      <c r="L26" s="97">
        <v>0</v>
      </c>
      <c r="M26" s="95">
        <f t="shared" si="12"/>
        <v>0</v>
      </c>
      <c r="N26" s="98" t="s">
        <v>48</v>
      </c>
      <c r="O26" s="99" t="s">
        <v>55</v>
      </c>
    </row>
    <row r="27" spans="1:15" s="4" customFormat="1" ht="18" customHeight="1" thickBot="1" x14ac:dyDescent="0.25">
      <c r="A27" s="61" t="s">
        <v>14</v>
      </c>
      <c r="B27" s="62"/>
      <c r="C27" s="62"/>
      <c r="D27" s="63"/>
      <c r="E27" s="13">
        <f>SUM(E11:E26)</f>
        <v>16319.05</v>
      </c>
      <c r="F27" s="14"/>
      <c r="G27" s="15"/>
      <c r="H27" s="16">
        <f>SUM(H11:H26)</f>
        <v>16319.05</v>
      </c>
      <c r="I27" s="64"/>
      <c r="J27" s="65"/>
      <c r="K27" s="17">
        <f>SUM(K11:K26)</f>
        <v>14924.35</v>
      </c>
      <c r="L27" s="17"/>
      <c r="M27" s="17">
        <f>SUM(M11:M26)</f>
        <v>1394.7</v>
      </c>
      <c r="N27"/>
    </row>
    <row r="28" spans="1:15" s="4" customFormat="1" ht="18" customHeight="1" x14ac:dyDescent="0.2">
      <c r="A28" s="57" t="s">
        <v>15</v>
      </c>
      <c r="B28" s="58"/>
      <c r="C28" s="58"/>
      <c r="D28" s="59"/>
      <c r="E28" s="18">
        <v>0</v>
      </c>
      <c r="F28" s="19"/>
      <c r="G28" s="20"/>
      <c r="H28" s="18">
        <v>0</v>
      </c>
      <c r="I28" s="68"/>
      <c r="J28" s="69"/>
      <c r="K28" s="21">
        <v>0</v>
      </c>
      <c r="L28" s="21"/>
      <c r="M28" s="21">
        <v>0</v>
      </c>
      <c r="N28"/>
    </row>
    <row r="29" spans="1:15" s="4" customFormat="1" ht="18" customHeight="1" thickBot="1" x14ac:dyDescent="0.25">
      <c r="A29" s="57" t="s">
        <v>13</v>
      </c>
      <c r="B29" s="58"/>
      <c r="C29" s="58"/>
      <c r="D29" s="59"/>
      <c r="E29" s="22">
        <f>SUM(E27:E28)</f>
        <v>16319.05</v>
      </c>
      <c r="F29" s="23"/>
      <c r="G29" s="24"/>
      <c r="H29" s="22">
        <f>SUM(H27,H28)</f>
        <v>16319.05</v>
      </c>
      <c r="I29" s="66"/>
      <c r="J29" s="67"/>
      <c r="K29" s="25">
        <f>SUM(K27:K28)</f>
        <v>14924.35</v>
      </c>
      <c r="L29" s="25"/>
      <c r="M29" s="25">
        <f>SUM(M27:M28)</f>
        <v>1394.7</v>
      </c>
      <c r="N29"/>
    </row>
    <row r="30" spans="1:15" ht="12.75" customHeight="1" x14ac:dyDescent="0.2">
      <c r="A30" s="60"/>
      <c r="B30" s="60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2" spans="1:15" x14ac:dyDescent="0.2">
      <c r="B32" s="27" t="s">
        <v>16</v>
      </c>
      <c r="C32" s="28"/>
      <c r="D32" s="29"/>
      <c r="E32" s="33">
        <f>E29</f>
        <v>16319.05</v>
      </c>
    </row>
    <row r="33" spans="2:12" x14ac:dyDescent="0.2">
      <c r="B33" s="30"/>
      <c r="C33" s="31"/>
      <c r="D33" s="32"/>
      <c r="E33" s="47"/>
    </row>
    <row r="35" spans="2:12" x14ac:dyDescent="0.2">
      <c r="B35" s="27" t="s">
        <v>17</v>
      </c>
      <c r="C35" s="28"/>
      <c r="D35" s="29"/>
      <c r="E35" s="33">
        <f>H29</f>
        <v>16319.05</v>
      </c>
    </row>
    <row r="36" spans="2:12" x14ac:dyDescent="0.2">
      <c r="B36" s="30"/>
      <c r="C36" s="31"/>
      <c r="D36" s="32"/>
      <c r="E36" s="47"/>
    </row>
    <row r="38" spans="2:12" x14ac:dyDescent="0.2">
      <c r="B38" s="27" t="s">
        <v>18</v>
      </c>
      <c r="C38" s="28"/>
      <c r="D38" s="29"/>
      <c r="E38" s="33">
        <f>K29</f>
        <v>14924.35</v>
      </c>
    </row>
    <row r="39" spans="2:12" x14ac:dyDescent="0.2">
      <c r="B39" s="30"/>
      <c r="C39" s="31"/>
      <c r="D39" s="32"/>
      <c r="E39" s="47"/>
      <c r="I39" s="7"/>
      <c r="J39" s="7"/>
      <c r="K39" s="7"/>
      <c r="L39" s="7"/>
    </row>
    <row r="40" spans="2:12" x14ac:dyDescent="0.2">
      <c r="I40" s="7"/>
      <c r="J40" s="7"/>
      <c r="K40" s="7"/>
      <c r="L40" s="7"/>
    </row>
    <row r="41" spans="2:12" x14ac:dyDescent="0.2">
      <c r="B41" s="27" t="s">
        <v>19</v>
      </c>
      <c r="C41" s="28"/>
      <c r="D41" s="29"/>
      <c r="E41" s="33">
        <f>M29</f>
        <v>1394.7</v>
      </c>
    </row>
    <row r="42" spans="2:12" x14ac:dyDescent="0.2">
      <c r="B42" s="30"/>
      <c r="C42" s="31"/>
      <c r="D42" s="32"/>
      <c r="E42" s="34"/>
    </row>
  </sheetData>
  <mergeCells count="32">
    <mergeCell ref="A28:D28"/>
    <mergeCell ref="I28:J28"/>
    <mergeCell ref="A29:D29"/>
    <mergeCell ref="I29:J29"/>
    <mergeCell ref="A30:B30"/>
    <mergeCell ref="F9:H9"/>
    <mergeCell ref="A9:A10"/>
    <mergeCell ref="A8:O8"/>
    <mergeCell ref="C9:E9"/>
    <mergeCell ref="B9:B10"/>
    <mergeCell ref="A27:D27"/>
    <mergeCell ref="I27:J27"/>
    <mergeCell ref="L9:L10"/>
    <mergeCell ref="O9:O10"/>
    <mergeCell ref="I9:I10"/>
    <mergeCell ref="J9:J10"/>
    <mergeCell ref="K9:K10"/>
    <mergeCell ref="M9:M10"/>
    <mergeCell ref="N9:N10"/>
    <mergeCell ref="B38:D39"/>
    <mergeCell ref="E38:E39"/>
    <mergeCell ref="A1:E1"/>
    <mergeCell ref="A2:E2"/>
    <mergeCell ref="A3:E3"/>
    <mergeCell ref="A4:E4"/>
    <mergeCell ref="A5:E5"/>
    <mergeCell ref="E32:E33"/>
    <mergeCell ref="E35:E36"/>
    <mergeCell ref="B41:D42"/>
    <mergeCell ref="E41:E42"/>
    <mergeCell ref="B32:D33"/>
    <mergeCell ref="B35:D36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2025-10-05T16:43:07Z</dcterms:modified>
  <cp:category/>
  <cp:contentStatus/>
</cp:coreProperties>
</file>