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Module X Solutions, LLC/"/>
    </mc:Choice>
  </mc:AlternateContent>
  <xr:revisionPtr revIDLastSave="0" documentId="13_ncr:1_{DE9A05D8-1C6F-1349-9E3E-AD8813A62486}" xr6:coauthVersionLast="47" xr6:coauthVersionMax="47" xr10:uidLastSave="{00000000-0000-0000-0000-000000000000}"/>
  <bookViews>
    <workbookView xWindow="2680" yWindow="2420" windowWidth="2880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6" i="1" l="1"/>
  <c r="E16" i="1"/>
  <c r="H17" i="1"/>
  <c r="L24" i="1"/>
  <c r="H18" i="1"/>
  <c r="E18" i="1"/>
  <c r="H21" i="1"/>
  <c r="E21" i="1"/>
  <c r="H20" i="1"/>
  <c r="E20" i="1"/>
  <c r="H19" i="1"/>
  <c r="E19" i="1"/>
  <c r="E17" i="1"/>
  <c r="H14" i="1"/>
  <c r="E14" i="1"/>
  <c r="H13" i="1"/>
  <c r="E13" i="1"/>
  <c r="H12" i="1"/>
  <c r="E12" i="1"/>
  <c r="H36" i="1"/>
  <c r="E36" i="1"/>
  <c r="H35" i="1"/>
  <c r="E35" i="1"/>
  <c r="L34" i="1"/>
  <c r="H34" i="1"/>
  <c r="E34" i="1"/>
  <c r="L33" i="1"/>
  <c r="H33" i="1"/>
  <c r="E33" i="1"/>
  <c r="H46" i="1"/>
  <c r="E46" i="1"/>
  <c r="L45" i="1"/>
  <c r="H45" i="1"/>
  <c r="E45" i="1"/>
  <c r="H55" i="1"/>
  <c r="E55" i="1"/>
  <c r="H64" i="1"/>
  <c r="H11" i="1"/>
  <c r="L64" i="1"/>
  <c r="E22" i="1"/>
  <c r="H22" i="1"/>
  <c r="E23" i="1"/>
  <c r="H23" i="1"/>
  <c r="E24" i="1"/>
  <c r="H24" i="1"/>
  <c r="E64" i="1"/>
  <c r="K16" i="1" l="1"/>
  <c r="M16" i="1" s="1"/>
  <c r="K19" i="1"/>
  <c r="M19" i="1" s="1"/>
  <c r="K20" i="1"/>
  <c r="M20" i="1" s="1"/>
  <c r="K18" i="1"/>
  <c r="M18" i="1" s="1"/>
  <c r="K21" i="1"/>
  <c r="M21" i="1" s="1"/>
  <c r="K17" i="1"/>
  <c r="M17" i="1" s="1"/>
  <c r="K13" i="1"/>
  <c r="M13" i="1" s="1"/>
  <c r="K12" i="1"/>
  <c r="M12" i="1" s="1"/>
  <c r="K14" i="1"/>
  <c r="M14" i="1" s="1"/>
  <c r="K45" i="1"/>
  <c r="M45" i="1" s="1"/>
  <c r="K36" i="1"/>
  <c r="M36" i="1" s="1"/>
  <c r="K33" i="1"/>
  <c r="M33" i="1" s="1"/>
  <c r="E37" i="1"/>
  <c r="E39" i="1" s="1"/>
  <c r="H37" i="1"/>
  <c r="H39" i="1" s="1"/>
  <c r="K35" i="1"/>
  <c r="M35" i="1" s="1"/>
  <c r="E47" i="1"/>
  <c r="E49" i="1" s="1"/>
  <c r="K34" i="1"/>
  <c r="M34" i="1" s="1"/>
  <c r="H47" i="1"/>
  <c r="H49" i="1" s="1"/>
  <c r="K46" i="1"/>
  <c r="M46" i="1" s="1"/>
  <c r="K55" i="1"/>
  <c r="M55" i="1" s="1"/>
  <c r="M56" i="1" s="1"/>
  <c r="M58" i="1" s="1"/>
  <c r="E56" i="1"/>
  <c r="E58" i="1" s="1"/>
  <c r="H56" i="1"/>
  <c r="H58" i="1" s="1"/>
  <c r="K23" i="1"/>
  <c r="M23" i="1" s="1"/>
  <c r="K11" i="1"/>
  <c r="K22" i="1"/>
  <c r="M22" i="1" s="1"/>
  <c r="K24" i="1"/>
  <c r="M24" i="1" s="1"/>
  <c r="K64" i="1"/>
  <c r="M47" i="1" l="1"/>
  <c r="M49" i="1" s="1"/>
  <c r="K47" i="1"/>
  <c r="K49" i="1" s="1"/>
  <c r="M37" i="1"/>
  <c r="M39" i="1" s="1"/>
  <c r="K37" i="1"/>
  <c r="K39" i="1" s="1"/>
  <c r="K56" i="1"/>
  <c r="K58" i="1" s="1"/>
  <c r="E15" i="1"/>
  <c r="H15" i="1"/>
  <c r="K15" i="1" s="1"/>
  <c r="E65" i="1"/>
  <c r="H65" i="1"/>
  <c r="K65" i="1" s="1"/>
  <c r="M15" i="1" l="1"/>
  <c r="E66" i="1"/>
  <c r="E68" i="1" s="1"/>
  <c r="M65" i="1"/>
  <c r="E11" i="1"/>
  <c r="H25" i="1" l="1"/>
  <c r="H27" i="1" s="1"/>
  <c r="H66" i="1"/>
  <c r="H68" i="1" s="1"/>
  <c r="E25" i="1"/>
  <c r="E27" i="1" s="1"/>
  <c r="E71" i="1" s="1"/>
  <c r="K66" i="1"/>
  <c r="K68" i="1" s="1"/>
  <c r="E74" i="1" l="1"/>
  <c r="K25" i="1"/>
  <c r="K27" i="1" s="1"/>
  <c r="E77" i="1" s="1"/>
  <c r="M11" i="1"/>
  <c r="M25" i="1" s="1"/>
  <c r="M27" i="1" s="1"/>
  <c r="M64" i="1"/>
  <c r="M66" i="1" s="1"/>
  <c r="M68" i="1" s="1"/>
  <c r="E80" i="1" l="1"/>
</calcChain>
</file>

<file path=xl/sharedStrings.xml><?xml version="1.0" encoding="utf-8"?>
<sst xmlns="http://schemas.openxmlformats.org/spreadsheetml/2006/main" count="220" uniqueCount="78">
  <si>
    <t>COLOR DENOTES PRICING DISCREPANCY</t>
  </si>
  <si>
    <t>REF #</t>
  </si>
  <si>
    <t>ITEM</t>
  </si>
  <si>
    <t>CLAIM PRESENTED</t>
  </si>
  <si>
    <t>LSG RESEARCHED RCV</t>
  </si>
  <si>
    <t>AGE (YEARS)</t>
  </si>
  <si>
    <t>USEFUL LIFE (YEARS)</t>
  </si>
  <si>
    <t>ACV (MAX DEPRECIATION 75%)</t>
  </si>
  <si>
    <t>DEPRECIATION%</t>
  </si>
  <si>
    <t>DEPRECIATION</t>
  </si>
  <si>
    <t>CONDITION</t>
  </si>
  <si>
    <t>NOTES</t>
  </si>
  <si>
    <t>QTY</t>
  </si>
  <si>
    <t>UNIT COST</t>
  </si>
  <si>
    <t>TOTAL</t>
  </si>
  <si>
    <t>SUB-TOTAL</t>
  </si>
  <si>
    <t>SALES TAX</t>
  </si>
  <si>
    <t>TOTAL PRESENTED</t>
  </si>
  <si>
    <t>TOTAL RESEARCHED RCV</t>
  </si>
  <si>
    <t>TOTAL ACV</t>
  </si>
  <si>
    <t>TOTAL DEPRECIATION</t>
  </si>
  <si>
    <t>RADIATOR AND PACKING</t>
  </si>
  <si>
    <t>GENERATOR</t>
  </si>
  <si>
    <t>LABOR OUT OF TOWN</t>
  </si>
  <si>
    <t>LABOR LOCAL</t>
  </si>
  <si>
    <t>INSURED: MODULE X SOLUTIONS, LLC</t>
  </si>
  <si>
    <t xml:space="preserve">LSG MATTER #: 787200.12555-00 </t>
  </si>
  <si>
    <t>CLAIM #: DHW6312</t>
  </si>
  <si>
    <t>DATE OF LOSS: 3/24/2025</t>
  </si>
  <si>
    <t>CAUSE OF LOSS: HUMAN ERROR / ACCIDENT</t>
  </si>
  <si>
    <t>PETROLEUM SERVICE COMPANY (PSC) (570-822-1151) ORDER ID # 176367</t>
  </si>
  <si>
    <t>SUNOCO TYPE II TRANSFORMER OIL (55 GAL DRUM)</t>
  </si>
  <si>
    <t>MOBIL UNIVOLT N 61 B (55 GAL DRUM)</t>
  </si>
  <si>
    <t>LINCOLN 1340 LEVER ACTION BARREL PUMP</t>
  </si>
  <si>
    <t>N/A</t>
  </si>
  <si>
    <t>SHIPPING</t>
  </si>
  <si>
    <t>LINCOLN BRAND 1340 STYLE LEVER ACTION BARREL PUMP.</t>
  </si>
  <si>
    <t xml:space="preserve">SEVEN (7), FIFTY FIVE (55) GALLON DRUMS OF SUNOCO BRAND TYPE II TRANSFORMER OIL. </t>
  </si>
  <si>
    <t>AVERAGE</t>
  </si>
  <si>
    <t>SHIPPING FOR THE TEN (10), FIFTY FIVE (55) GALLON DRUMS OF OIL AND THE SMALL BARREL PUMP.</t>
  </si>
  <si>
    <t>PETROLEUM SERVICE COMPANY (PSC) (570-822-1151) ORDER ID # 176377</t>
  </si>
  <si>
    <t>PHILLIPS 66 TRANSFORMER OIL (55 GAL DRUMS)</t>
  </si>
  <si>
    <t xml:space="preserve">THREE (3), FIFTY FIVE (55) GALLON DRUMS OF PHILLIPS BRAND #66 TRANSFORMER OIL. </t>
  </si>
  <si>
    <t xml:space="preserve">SHIPPING FOR THE THREE (3), FIFTY FIVE (55) GALLON DRUMS OF OIL. </t>
  </si>
  <si>
    <t>GENERATOR DELIVERY FEE</t>
  </si>
  <si>
    <t>GENERATOR PICK UP FEE</t>
  </si>
  <si>
    <t>GENERATOR DAILY RENTAL FEE</t>
  </si>
  <si>
    <t xml:space="preserve">THIS COST WAS PROVIDED TO US IN A LUMP SUM COST, WITH HELP FROM THE VENDOR WE WERE ABLE TO BREAK THIS COST DOWN AS FOLLOWS. </t>
  </si>
  <si>
    <t xml:space="preserve">FEE TO DELIVER THE GENERATOR. </t>
  </si>
  <si>
    <t>FEE TO PICK UP THE GENERATOR.</t>
  </si>
  <si>
    <t>GENERATOR RENTAL FEE FOR TWO DAYS OF USE AT $849.15 A DAY.</t>
  </si>
  <si>
    <t>TRAVEL TIME</t>
  </si>
  <si>
    <t>MILAGE</t>
  </si>
  <si>
    <t>LABOR HOURS</t>
  </si>
  <si>
    <t>LODGING</t>
  </si>
  <si>
    <t>PER DIEM</t>
  </si>
  <si>
    <t>MILAGE COST</t>
  </si>
  <si>
    <t>LOCAL LABOR HOURS</t>
  </si>
  <si>
    <t>MISCELLANEOUS MATERIALS.</t>
  </si>
  <si>
    <t xml:space="preserve">LABOR HOURS BY LOCAL TECHNICIANS. </t>
  </si>
  <si>
    <t>MISCELLANEOUS OTHER MATERIALS LIKE GASKETS, WELDING EQUIPMENT, ETC.</t>
  </si>
  <si>
    <t>SANIL ELECTRIC CO. INVOICE SANIL/83112</t>
  </si>
  <si>
    <t>LODGING FOR ONE NIGHT</t>
  </si>
  <si>
    <t>TRAVEL TIME TO AND FROM JOB LOCATION</t>
  </si>
  <si>
    <t>TWO DAY RENTAL OF A INDUSTRIAL DEHYDRATION RIG</t>
  </si>
  <si>
    <t xml:space="preserve">THE COST FOR A DEHYDRATION RIG FOR TWO DAYS. </t>
  </si>
  <si>
    <t xml:space="preserve">REPLACEMENT PARTS: RADIATOR AND PACKAGING </t>
  </si>
  <si>
    <t>ELECTRICAL RELIABILITY SERVICES (ERS) (318-453-3070) QUOTE IN EMAIL TO JANICE JONES DATED ON 10/8/25</t>
  </si>
  <si>
    <t>THREE (3), FIFTY FIVE (55) GALLON DRUMS OF MOBIL UNIVOLT N 61 B</t>
  </si>
  <si>
    <t xml:space="preserve">FRIGHT CHARGE TO FLY FROM KOREA TO SHREVEPORT LA </t>
  </si>
  <si>
    <t>LABOR FOR OUT OF TOWN TECHNICIANS TO COME IN TO RUN A DEHYDRATION RIG. THIS INCLUDES PE DIEM, TRAVEL TIME, LODGING, MILAGE, AND LABOR. THIS COST WAS PRESENTED IN A LUMP SUM COST, WITH HELP FROM THE VENDOR WE WERE ABLE TO BREAK THIS COST DOWN.</t>
  </si>
  <si>
    <t>TWO (2) DAYS OF PER DIEM.</t>
  </si>
  <si>
    <t>TWO TECHNICIANS FOR ONE DAY OF LABOR TO PERFORM THE DEHYDRATION PROCESS.</t>
  </si>
  <si>
    <t>LABOR FOR THEIR TECHNICIANS TO PERFORM TESTS ONCE REPAIRED. THIS ALSO INCLUDES RE-GASKETING AND REPLACING RADIATOR.</t>
  </si>
  <si>
    <t>PETROLEUM SERVICE COMPANY (PSC) (570-822-1151) EMAIL RECEIPT OF $1,000 BILL FROM PSE FOR ADDITIONAL SHIPPING</t>
  </si>
  <si>
    <t>ADDITIONAL SHIPPING (GARNETED 2 DAY SHIPPING)</t>
  </si>
  <si>
    <t>ADDITIONAL SHIPPING CHARGE TO GUARANTEED THAT THE ORDERS WOULD BE ARRIVING ON OR BEFORE 4/18/2023 TO COORDINATE WITH VENDOR'S WORK.</t>
  </si>
  <si>
    <t>AIR FREIGHT CHARGES, TRUCKING FEES, IMPORTATION DUTIES AND FEES, TARIFFS, ETC. FROM KOREA TO MOBILE X SOLUTIONS IN SHREVEPORT 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</si>
</sst>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rgb="FF000000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thin">
        <color rgb="FF000000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115"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/>
    </xf>
    <xf numFmtId="44" fontId="7" fillId="2" borderId="16" xfId="1" applyFont="1" applyFill="1" applyBorder="1" applyAlignment="1">
      <alignment horizontal="center"/>
    </xf>
    <xf numFmtId="9" fontId="7" fillId="2" borderId="16" xfId="6" applyFont="1" applyFill="1" applyBorder="1" applyAlignment="1">
      <alignment horizontal="center"/>
    </xf>
    <xf numFmtId="0" fontId="7" fillId="2" borderId="16" xfId="0" applyFont="1" applyFill="1" applyBorder="1" applyAlignment="1">
      <alignment horizontal="left" wrapText="1"/>
    </xf>
    <xf numFmtId="0" fontId="7" fillId="2" borderId="16" xfId="1" applyNumberFormat="1" applyFont="1" applyFill="1" applyBorder="1" applyAlignment="1">
      <alignment horizontal="center"/>
    </xf>
    <xf numFmtId="0" fontId="7" fillId="2" borderId="16" xfId="1" applyNumberFormat="1" applyFont="1" applyFill="1" applyBorder="1" applyAlignment="1">
      <alignment horizontal="center" wrapText="1"/>
    </xf>
    <xf numFmtId="44" fontId="6" fillId="2" borderId="13" xfId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/>
    <xf numFmtId="0" fontId="6" fillId="2" borderId="2" xfId="1" applyNumberFormat="1" applyFont="1" applyFill="1" applyBorder="1" applyAlignment="1"/>
    <xf numFmtId="44" fontId="6" fillId="2" borderId="13" xfId="1" applyFont="1" applyFill="1" applyBorder="1" applyAlignment="1"/>
    <xf numFmtId="44" fontId="6" fillId="2" borderId="13" xfId="1" applyFont="1" applyFill="1" applyBorder="1" applyAlignment="1">
      <alignment horizontal="right"/>
    </xf>
    <xf numFmtId="44" fontId="7" fillId="2" borderId="15" xfId="1" applyFont="1" applyFill="1" applyBorder="1" applyAlignment="1"/>
    <xf numFmtId="44" fontId="7" fillId="2" borderId="7" xfId="1" applyFont="1" applyFill="1" applyBorder="1" applyAlignment="1"/>
    <xf numFmtId="44" fontId="7" fillId="2" borderId="9" xfId="1" applyFont="1" applyFill="1" applyBorder="1" applyAlignment="1"/>
    <xf numFmtId="44" fontId="7" fillId="0" borderId="15" xfId="1" applyFont="1" applyFill="1" applyBorder="1" applyAlignment="1">
      <alignment horizontal="right"/>
    </xf>
    <xf numFmtId="44" fontId="6" fillId="2" borderId="15" xfId="1" applyFont="1" applyFill="1" applyBorder="1" applyAlignment="1"/>
    <xf numFmtId="44" fontId="6" fillId="2" borderId="7" xfId="1" applyFont="1" applyFill="1" applyBorder="1" applyAlignment="1"/>
    <xf numFmtId="44" fontId="6" fillId="2" borderId="9" xfId="1" applyFont="1" applyFill="1" applyBorder="1" applyAlignment="1"/>
    <xf numFmtId="44" fontId="6" fillId="2" borderId="15" xfId="1" applyFont="1" applyFill="1" applyBorder="1" applyAlignment="1">
      <alignment horizontal="right"/>
    </xf>
    <xf numFmtId="0" fontId="6" fillId="0" borderId="0" xfId="0" applyFont="1" applyAlignment="1">
      <alignment horizontal="left" vertical="center" wrapText="1"/>
    </xf>
    <xf numFmtId="44" fontId="7" fillId="0" borderId="0" xfId="0" applyNumberFormat="1" applyFont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44" fontId="6" fillId="0" borderId="12" xfId="0" applyNumberFormat="1" applyFont="1" applyBorder="1" applyAlignment="1">
      <alignment horizontal="center" vertical="center"/>
    </xf>
    <xf numFmtId="44" fontId="6" fillId="0" borderId="13" xfId="0" applyNumberFormat="1" applyFont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164" fontId="6" fillId="3" borderId="14" xfId="0" applyNumberFormat="1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6" fillId="4" borderId="3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6" fillId="2" borderId="1" xfId="1" applyNumberFormat="1" applyFont="1" applyFill="1" applyBorder="1" applyAlignment="1">
      <alignment horizontal="center"/>
    </xf>
    <xf numFmtId="0" fontId="6" fillId="2" borderId="2" xfId="1" applyNumberFormat="1" applyFont="1" applyFill="1" applyBorder="1" applyAlignment="1">
      <alignment horizontal="center"/>
    </xf>
    <xf numFmtId="0" fontId="6" fillId="2" borderId="7" xfId="1" applyNumberFormat="1" applyFont="1" applyFill="1" applyBorder="1" applyAlignment="1">
      <alignment horizontal="center"/>
    </xf>
    <xf numFmtId="0" fontId="6" fillId="2" borderId="9" xfId="1" applyNumberFormat="1" applyFont="1" applyFill="1" applyBorder="1" applyAlignment="1">
      <alignment horizontal="center"/>
    </xf>
    <xf numFmtId="0" fontId="7" fillId="2" borderId="7" xfId="1" applyNumberFormat="1" applyFont="1" applyFill="1" applyBorder="1" applyAlignment="1">
      <alignment horizontal="center"/>
    </xf>
    <xf numFmtId="0" fontId="7" fillId="2" borderId="9" xfId="1" applyNumberFormat="1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left" wrapText="1"/>
    </xf>
    <xf numFmtId="0" fontId="7" fillId="2" borderId="18" xfId="0" applyFont="1" applyFill="1" applyBorder="1" applyAlignment="1">
      <alignment horizontal="center"/>
    </xf>
    <xf numFmtId="44" fontId="7" fillId="2" borderId="18" xfId="1" applyFont="1" applyFill="1" applyBorder="1" applyAlignment="1">
      <alignment horizontal="center"/>
    </xf>
    <xf numFmtId="0" fontId="7" fillId="2" borderId="18" xfId="1" applyNumberFormat="1" applyFont="1" applyFill="1" applyBorder="1" applyAlignment="1">
      <alignment horizontal="center"/>
    </xf>
    <xf numFmtId="9" fontId="7" fillId="2" borderId="18" xfId="6" applyFont="1" applyFill="1" applyBorder="1" applyAlignment="1">
      <alignment horizontal="center"/>
    </xf>
    <xf numFmtId="0" fontId="7" fillId="2" borderId="18" xfId="1" applyNumberFormat="1" applyFont="1" applyFill="1" applyBorder="1" applyAlignment="1">
      <alignment horizontal="center" wrapText="1"/>
    </xf>
    <xf numFmtId="0" fontId="7" fillId="2" borderId="19" xfId="0" applyFont="1" applyFill="1" applyBorder="1" applyAlignment="1">
      <alignment horizontal="left" wrapText="1"/>
    </xf>
    <xf numFmtId="0" fontId="7" fillId="2" borderId="20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left" wrapText="1"/>
    </xf>
    <xf numFmtId="0" fontId="7" fillId="2" borderId="22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left" wrapText="1"/>
    </xf>
    <xf numFmtId="0" fontId="7" fillId="2" borderId="23" xfId="0" applyFont="1" applyFill="1" applyBorder="1" applyAlignment="1">
      <alignment horizontal="center"/>
    </xf>
    <xf numFmtId="44" fontId="7" fillId="2" borderId="23" xfId="1" applyFont="1" applyFill="1" applyBorder="1" applyAlignment="1">
      <alignment horizontal="center"/>
    </xf>
    <xf numFmtId="0" fontId="7" fillId="2" borderId="23" xfId="1" applyNumberFormat="1" applyFont="1" applyFill="1" applyBorder="1" applyAlignment="1">
      <alignment horizontal="center"/>
    </xf>
    <xf numFmtId="9" fontId="7" fillId="2" borderId="23" xfId="6" applyFont="1" applyFill="1" applyBorder="1" applyAlignment="1">
      <alignment horizontal="center"/>
    </xf>
    <xf numFmtId="0" fontId="7" fillId="2" borderId="23" xfId="1" applyNumberFormat="1" applyFont="1" applyFill="1" applyBorder="1" applyAlignment="1">
      <alignment horizontal="center" wrapText="1"/>
    </xf>
    <xf numFmtId="0" fontId="7" fillId="2" borderId="24" xfId="0" applyFont="1" applyFill="1" applyBorder="1" applyAlignment="1">
      <alignment horizontal="left" wrapText="1"/>
    </xf>
    <xf numFmtId="0" fontId="7" fillId="2" borderId="25" xfId="0" applyFont="1" applyFill="1" applyBorder="1" applyAlignment="1">
      <alignment horizontal="center"/>
    </xf>
    <xf numFmtId="0" fontId="7" fillId="2" borderId="26" xfId="0" applyFont="1" applyFill="1" applyBorder="1" applyAlignment="1">
      <alignment horizontal="left" wrapText="1"/>
    </xf>
    <xf numFmtId="0" fontId="7" fillId="2" borderId="26" xfId="0" applyFont="1" applyFill="1" applyBorder="1" applyAlignment="1">
      <alignment horizontal="center"/>
    </xf>
    <xf numFmtId="44" fontId="7" fillId="2" borderId="26" xfId="1" applyFont="1" applyFill="1" applyBorder="1" applyAlignment="1">
      <alignment horizontal="center"/>
    </xf>
    <xf numFmtId="0" fontId="7" fillId="2" borderId="26" xfId="1" applyNumberFormat="1" applyFont="1" applyFill="1" applyBorder="1" applyAlignment="1">
      <alignment horizontal="center"/>
    </xf>
    <xf numFmtId="9" fontId="7" fillId="2" borderId="26" xfId="6" applyFont="1" applyFill="1" applyBorder="1" applyAlignment="1">
      <alignment horizontal="center"/>
    </xf>
    <xf numFmtId="0" fontId="7" fillId="2" borderId="26" xfId="1" applyNumberFormat="1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left" wrapText="1"/>
    </xf>
    <xf numFmtId="44" fontId="7" fillId="0" borderId="0" xfId="0" applyNumberFormat="1" applyFont="1"/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left" wrapText="1"/>
    </xf>
    <xf numFmtId="44" fontId="7" fillId="0" borderId="23" xfId="1" applyFont="1" applyFill="1" applyBorder="1" applyAlignment="1">
      <alignment horizontal="center"/>
    </xf>
    <xf numFmtId="0" fontId="7" fillId="0" borderId="23" xfId="1" applyNumberFormat="1" applyFont="1" applyFill="1" applyBorder="1" applyAlignment="1">
      <alignment horizontal="center"/>
    </xf>
    <xf numFmtId="0" fontId="7" fillId="0" borderId="23" xfId="1" applyNumberFormat="1" applyFont="1" applyFill="1" applyBorder="1" applyAlignment="1">
      <alignment horizontal="center" wrapText="1"/>
    </xf>
    <xf numFmtId="0" fontId="7" fillId="0" borderId="24" xfId="0" applyFont="1" applyBorder="1" applyAlignment="1">
      <alignment horizontal="left" wrapText="1"/>
    </xf>
  </cellXfs>
  <cellStyles count="7">
    <cellStyle name="Currency" xfId="1" builtinId="4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81"/>
  <sheetViews>
    <sheetView tabSelected="1" topLeftCell="A55" zoomScale="80" zoomScaleNormal="80" zoomScalePageLayoutView="90" workbookViewId="0">
      <selection activeCell="O71" sqref="O71"/>
    </sheetView>
  </sheetViews>
  <sheetFormatPr baseColWidth="10" defaultColWidth="8.83203125" defaultRowHeight="16" x14ac:dyDescent="0.2"/>
  <cols>
    <col min="1" max="1" width="5.6640625" style="3" customWidth="1"/>
    <col min="2" max="2" width="20.6640625" style="3" customWidth="1"/>
    <col min="3" max="3" width="5.6640625" style="5" customWidth="1"/>
    <col min="4" max="5" width="17.6640625" style="5" customWidth="1"/>
    <col min="6" max="6" width="5.6640625" style="5" customWidth="1"/>
    <col min="7" max="8" width="17.6640625" style="5" customWidth="1"/>
    <col min="9" max="10" width="9.6640625" style="5" customWidth="1"/>
    <col min="11" max="13" width="17.6640625" style="5" hidden="1" customWidth="1"/>
    <col min="14" max="14" width="13.6640625" style="5" customWidth="1"/>
    <col min="15" max="15" width="47.6640625" style="9" customWidth="1"/>
    <col min="16" max="16" width="8.83203125" style="3"/>
    <col min="17" max="17" width="16.83203125" style="3" customWidth="1"/>
    <col min="18" max="18" width="12.6640625" style="3" bestFit="1" customWidth="1"/>
    <col min="19" max="16384" width="8.83203125" style="3"/>
  </cols>
  <sheetData>
    <row r="1" spans="1:18" ht="15.75" customHeight="1" x14ac:dyDescent="0.2">
      <c r="A1" s="56" t="s">
        <v>25</v>
      </c>
      <c r="B1" s="57"/>
      <c r="C1" s="57"/>
      <c r="D1" s="57"/>
      <c r="E1" s="58"/>
      <c r="F1" s="1"/>
      <c r="G1"/>
      <c r="H1"/>
      <c r="I1"/>
      <c r="J1" s="1"/>
      <c r="K1" s="1"/>
      <c r="L1" s="1"/>
      <c r="M1" s="1"/>
      <c r="N1" s="1"/>
      <c r="O1" s="2"/>
      <c r="P1" s="2"/>
    </row>
    <row r="2" spans="1:18" ht="15.75" customHeight="1" x14ac:dyDescent="0.2">
      <c r="A2" s="59" t="s">
        <v>26</v>
      </c>
      <c r="B2" s="60"/>
      <c r="C2" s="60"/>
      <c r="D2" s="60"/>
      <c r="E2" s="61"/>
      <c r="F2" s="1"/>
      <c r="G2"/>
      <c r="H2"/>
      <c r="I2"/>
      <c r="J2" s="1"/>
      <c r="K2" s="1"/>
      <c r="M2" s="1"/>
      <c r="N2" s="1"/>
      <c r="O2" s="2"/>
      <c r="P2" s="2"/>
    </row>
    <row r="3" spans="1:18" ht="15.75" customHeight="1" x14ac:dyDescent="0.2">
      <c r="A3" s="59" t="s">
        <v>27</v>
      </c>
      <c r="B3" s="60"/>
      <c r="C3" s="60"/>
      <c r="D3" s="60"/>
      <c r="E3" s="61"/>
      <c r="F3" s="1"/>
      <c r="G3" s="4"/>
      <c r="H3" s="4"/>
      <c r="I3" s="4"/>
      <c r="J3" s="1"/>
      <c r="K3" s="1"/>
      <c r="L3"/>
      <c r="M3" s="1"/>
      <c r="N3" s="1"/>
      <c r="O3" s="6"/>
      <c r="P3" s="6"/>
    </row>
    <row r="4" spans="1:18" ht="15.75" customHeight="1" x14ac:dyDescent="0.2">
      <c r="A4" s="59" t="s">
        <v>28</v>
      </c>
      <c r="B4" s="60"/>
      <c r="C4" s="60"/>
      <c r="D4" s="60"/>
      <c r="E4" s="61"/>
      <c r="F4" s="7"/>
      <c r="G4" s="68" t="s">
        <v>0</v>
      </c>
      <c r="H4" s="69"/>
      <c r="I4" s="4"/>
      <c r="J4" s="8"/>
      <c r="K4" s="8"/>
      <c r="L4" s="1"/>
      <c r="O4" s="3"/>
    </row>
    <row r="5" spans="1:18" ht="15.75" customHeight="1" thickBot="1" x14ac:dyDescent="0.25">
      <c r="A5" s="62" t="s">
        <v>29</v>
      </c>
      <c r="B5" s="63"/>
      <c r="C5" s="63"/>
      <c r="D5" s="63"/>
      <c r="E5" s="64"/>
      <c r="F5" s="1"/>
      <c r="G5" s="70"/>
      <c r="H5" s="71"/>
      <c r="I5" s="4"/>
      <c r="J5" s="1"/>
      <c r="K5" s="1"/>
      <c r="L5" s="1"/>
      <c r="O5" s="3"/>
    </row>
    <row r="6" spans="1:18" ht="15" customHeight="1" x14ac:dyDescent="0.2">
      <c r="A6" s="2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/>
      <c r="O6" s="2"/>
    </row>
    <row r="7" spans="1:18" ht="12.75" customHeight="1" x14ac:dyDescent="0.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33"/>
    </row>
    <row r="8" spans="1:18" s="10" customFormat="1" ht="25.5" customHeight="1" x14ac:dyDescent="0.15">
      <c r="A8" s="43" t="s">
        <v>67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5"/>
    </row>
    <row r="9" spans="1:18" ht="24" customHeight="1" x14ac:dyDescent="0.2">
      <c r="A9" s="46" t="s">
        <v>1</v>
      </c>
      <c r="B9" s="48" t="s">
        <v>2</v>
      </c>
      <c r="C9" s="50" t="s">
        <v>3</v>
      </c>
      <c r="D9" s="51"/>
      <c r="E9" s="52"/>
      <c r="F9" s="50" t="s">
        <v>4</v>
      </c>
      <c r="G9" s="51"/>
      <c r="H9" s="52"/>
      <c r="I9" s="53" t="s">
        <v>5</v>
      </c>
      <c r="J9" s="53" t="s">
        <v>6</v>
      </c>
      <c r="K9" s="53" t="s">
        <v>7</v>
      </c>
      <c r="L9" s="53" t="s">
        <v>8</v>
      </c>
      <c r="M9" s="53" t="s">
        <v>9</v>
      </c>
      <c r="N9" s="53" t="s">
        <v>10</v>
      </c>
      <c r="O9" s="46" t="s">
        <v>11</v>
      </c>
    </row>
    <row r="10" spans="1:18" ht="24" customHeight="1" thickBot="1" x14ac:dyDescent="0.25">
      <c r="A10" s="47"/>
      <c r="B10" s="49"/>
      <c r="C10" s="12" t="s">
        <v>12</v>
      </c>
      <c r="D10" s="11" t="s">
        <v>13</v>
      </c>
      <c r="E10" s="13" t="s">
        <v>14</v>
      </c>
      <c r="F10" s="13" t="s">
        <v>12</v>
      </c>
      <c r="G10" s="13" t="s">
        <v>13</v>
      </c>
      <c r="H10" s="13" t="s">
        <v>14</v>
      </c>
      <c r="I10" s="54"/>
      <c r="J10" s="54"/>
      <c r="K10" s="54"/>
      <c r="L10" s="54"/>
      <c r="M10" s="54"/>
      <c r="N10" s="54"/>
      <c r="O10" s="47"/>
    </row>
    <row r="11" spans="1:18" ht="73" customHeight="1" x14ac:dyDescent="0.2">
      <c r="A11" s="82">
        <v>1</v>
      </c>
      <c r="B11" s="83" t="s">
        <v>22</v>
      </c>
      <c r="C11" s="84">
        <v>1</v>
      </c>
      <c r="D11" s="85">
        <v>4686</v>
      </c>
      <c r="E11" s="85">
        <f t="shared" ref="E11:E21" si="0">C11*D11</f>
        <v>4686</v>
      </c>
      <c r="F11" s="86">
        <v>0</v>
      </c>
      <c r="G11" s="85">
        <v>0</v>
      </c>
      <c r="H11" s="85">
        <f>F11*G11</f>
        <v>0</v>
      </c>
      <c r="I11" s="86" t="s">
        <v>34</v>
      </c>
      <c r="J11" s="86" t="s">
        <v>34</v>
      </c>
      <c r="K11" s="85">
        <f>H11*(1-L11)</f>
        <v>0</v>
      </c>
      <c r="L11" s="87">
        <v>0</v>
      </c>
      <c r="M11" s="85">
        <f>H11-K11</f>
        <v>0</v>
      </c>
      <c r="N11" s="88" t="s">
        <v>34</v>
      </c>
      <c r="O11" s="89" t="s">
        <v>47</v>
      </c>
    </row>
    <row r="12" spans="1:18" ht="65" customHeight="1" x14ac:dyDescent="0.2">
      <c r="A12" s="90">
        <v>2</v>
      </c>
      <c r="B12" s="17" t="s">
        <v>44</v>
      </c>
      <c r="C12" s="14">
        <v>0</v>
      </c>
      <c r="D12" s="15">
        <v>0</v>
      </c>
      <c r="E12" s="15">
        <f t="shared" si="0"/>
        <v>0</v>
      </c>
      <c r="F12" s="18">
        <v>1</v>
      </c>
      <c r="G12" s="15">
        <v>1570.2</v>
      </c>
      <c r="H12" s="15">
        <f t="shared" ref="H12:H14" si="1">F12*G12</f>
        <v>1570.2</v>
      </c>
      <c r="I12" s="18" t="s">
        <v>34</v>
      </c>
      <c r="J12" s="18" t="s">
        <v>34</v>
      </c>
      <c r="K12" s="15">
        <f t="shared" ref="K12:K14" si="2">H12*(1-L12)</f>
        <v>1570.2</v>
      </c>
      <c r="L12" s="16">
        <v>0</v>
      </c>
      <c r="M12" s="15">
        <f t="shared" ref="M12:M14" si="3">H12-K12</f>
        <v>0</v>
      </c>
      <c r="N12" s="19" t="s">
        <v>34</v>
      </c>
      <c r="O12" s="91" t="s">
        <v>48</v>
      </c>
    </row>
    <row r="13" spans="1:18" ht="65" customHeight="1" x14ac:dyDescent="0.2">
      <c r="A13" s="90">
        <v>3</v>
      </c>
      <c r="B13" s="17" t="s">
        <v>45</v>
      </c>
      <c r="C13" s="14">
        <v>0</v>
      </c>
      <c r="D13" s="15">
        <v>0</v>
      </c>
      <c r="E13" s="15">
        <f t="shared" si="0"/>
        <v>0</v>
      </c>
      <c r="F13" s="18">
        <v>1</v>
      </c>
      <c r="G13" s="15">
        <v>1417.5</v>
      </c>
      <c r="H13" s="15">
        <f t="shared" si="1"/>
        <v>1417.5</v>
      </c>
      <c r="I13" s="18" t="s">
        <v>34</v>
      </c>
      <c r="J13" s="18" t="s">
        <v>34</v>
      </c>
      <c r="K13" s="15">
        <f t="shared" si="2"/>
        <v>1417.5</v>
      </c>
      <c r="L13" s="16">
        <v>0</v>
      </c>
      <c r="M13" s="15">
        <f t="shared" si="3"/>
        <v>0</v>
      </c>
      <c r="N13" s="19" t="s">
        <v>34</v>
      </c>
      <c r="O13" s="91" t="s">
        <v>49</v>
      </c>
      <c r="R13" s="108"/>
    </row>
    <row r="14" spans="1:18" ht="65" customHeight="1" x14ac:dyDescent="0.2">
      <c r="A14" s="90">
        <v>4</v>
      </c>
      <c r="B14" s="17" t="s">
        <v>46</v>
      </c>
      <c r="C14" s="14">
        <v>0</v>
      </c>
      <c r="D14" s="15">
        <v>0</v>
      </c>
      <c r="E14" s="15">
        <f t="shared" si="0"/>
        <v>0</v>
      </c>
      <c r="F14" s="18">
        <v>2</v>
      </c>
      <c r="G14" s="15">
        <v>849.15</v>
      </c>
      <c r="H14" s="15">
        <f t="shared" si="1"/>
        <v>1698.3</v>
      </c>
      <c r="I14" s="18" t="s">
        <v>34</v>
      </c>
      <c r="J14" s="18" t="s">
        <v>34</v>
      </c>
      <c r="K14" s="15">
        <f t="shared" si="2"/>
        <v>1698.3</v>
      </c>
      <c r="L14" s="16">
        <v>0</v>
      </c>
      <c r="M14" s="15">
        <f t="shared" si="3"/>
        <v>0</v>
      </c>
      <c r="N14" s="19" t="s">
        <v>34</v>
      </c>
      <c r="O14" s="91" t="s">
        <v>50</v>
      </c>
    </row>
    <row r="15" spans="1:18" ht="125" customHeight="1" x14ac:dyDescent="0.2">
      <c r="A15" s="90">
        <v>5</v>
      </c>
      <c r="B15" s="17" t="s">
        <v>23</v>
      </c>
      <c r="C15" s="14">
        <v>1</v>
      </c>
      <c r="D15" s="15">
        <v>9450</v>
      </c>
      <c r="E15" s="15">
        <f t="shared" si="0"/>
        <v>9450</v>
      </c>
      <c r="F15" s="14">
        <v>0</v>
      </c>
      <c r="G15" s="15">
        <v>0</v>
      </c>
      <c r="H15" s="15">
        <f t="shared" ref="H15:H21" si="4">F15*G15</f>
        <v>0</v>
      </c>
      <c r="I15" s="18" t="s">
        <v>34</v>
      </c>
      <c r="J15" s="18" t="s">
        <v>34</v>
      </c>
      <c r="K15" s="15">
        <f t="shared" ref="K15:K24" si="5">H15*(1-L15)</f>
        <v>0</v>
      </c>
      <c r="L15" s="16">
        <v>0</v>
      </c>
      <c r="M15" s="15">
        <f t="shared" ref="M15:M24" si="6">H15-K15</f>
        <v>0</v>
      </c>
      <c r="N15" s="19" t="s">
        <v>34</v>
      </c>
      <c r="O15" s="91" t="s">
        <v>70</v>
      </c>
    </row>
    <row r="16" spans="1:18" ht="65" customHeight="1" x14ac:dyDescent="0.2">
      <c r="A16" s="90">
        <v>6</v>
      </c>
      <c r="B16" s="17" t="s">
        <v>64</v>
      </c>
      <c r="C16" s="14">
        <v>0</v>
      </c>
      <c r="D16" s="15">
        <v>0</v>
      </c>
      <c r="E16" s="15">
        <f t="shared" ref="E16" si="7">C16*D16</f>
        <v>0</v>
      </c>
      <c r="F16" s="18">
        <v>2</v>
      </c>
      <c r="G16" s="15">
        <v>885</v>
      </c>
      <c r="H16" s="15">
        <f t="shared" ref="H16" si="8">F16*G16</f>
        <v>1770</v>
      </c>
      <c r="I16" s="18" t="s">
        <v>34</v>
      </c>
      <c r="J16" s="18" t="s">
        <v>34</v>
      </c>
      <c r="K16" s="15">
        <f t="shared" si="5"/>
        <v>1770</v>
      </c>
      <c r="L16" s="16">
        <v>0</v>
      </c>
      <c r="M16" s="15">
        <f t="shared" si="6"/>
        <v>0</v>
      </c>
      <c r="N16" s="19" t="s">
        <v>34</v>
      </c>
      <c r="O16" s="91" t="s">
        <v>65</v>
      </c>
    </row>
    <row r="17" spans="1:17" ht="65" customHeight="1" x14ac:dyDescent="0.2">
      <c r="A17" s="90">
        <v>7</v>
      </c>
      <c r="B17" s="17" t="s">
        <v>55</v>
      </c>
      <c r="C17" s="14">
        <v>0</v>
      </c>
      <c r="D17" s="15">
        <v>0</v>
      </c>
      <c r="E17" s="15">
        <f t="shared" si="0"/>
        <v>0</v>
      </c>
      <c r="F17" s="18">
        <v>2</v>
      </c>
      <c r="G17" s="15">
        <v>90</v>
      </c>
      <c r="H17" s="15">
        <f t="shared" si="4"/>
        <v>180</v>
      </c>
      <c r="I17" s="18" t="s">
        <v>34</v>
      </c>
      <c r="J17" s="18" t="s">
        <v>34</v>
      </c>
      <c r="K17" s="15">
        <f t="shared" ref="K17:K21" si="9">H17*(1-L17)</f>
        <v>180</v>
      </c>
      <c r="L17" s="16">
        <v>0</v>
      </c>
      <c r="M17" s="15">
        <f t="shared" ref="M17:M21" si="10">H17-K17</f>
        <v>0</v>
      </c>
      <c r="N17" s="19" t="s">
        <v>34</v>
      </c>
      <c r="O17" s="91" t="s">
        <v>71</v>
      </c>
      <c r="Q17" s="108"/>
    </row>
    <row r="18" spans="1:17" ht="65" customHeight="1" x14ac:dyDescent="0.2">
      <c r="A18" s="90">
        <v>8</v>
      </c>
      <c r="B18" s="17" t="s">
        <v>54</v>
      </c>
      <c r="C18" s="14">
        <v>0</v>
      </c>
      <c r="D18" s="15">
        <v>0</v>
      </c>
      <c r="E18" s="15">
        <f t="shared" ref="E18" si="11">C18*D18</f>
        <v>0</v>
      </c>
      <c r="F18" s="18">
        <v>1</v>
      </c>
      <c r="G18" s="15">
        <v>300</v>
      </c>
      <c r="H18" s="15">
        <f t="shared" ref="H18" si="12">F18*G18</f>
        <v>300</v>
      </c>
      <c r="I18" s="18" t="s">
        <v>34</v>
      </c>
      <c r="J18" s="18" t="s">
        <v>34</v>
      </c>
      <c r="K18" s="15">
        <f t="shared" ref="K18" si="13">H18*(1-L18)</f>
        <v>300</v>
      </c>
      <c r="L18" s="16">
        <v>0</v>
      </c>
      <c r="M18" s="15">
        <f t="shared" ref="M18" si="14">H18-K18</f>
        <v>0</v>
      </c>
      <c r="N18" s="19" t="s">
        <v>34</v>
      </c>
      <c r="O18" s="91" t="s">
        <v>62</v>
      </c>
    </row>
    <row r="19" spans="1:17" ht="65" customHeight="1" x14ac:dyDescent="0.2">
      <c r="A19" s="90">
        <v>9</v>
      </c>
      <c r="B19" s="17" t="s">
        <v>51</v>
      </c>
      <c r="C19" s="14">
        <v>0</v>
      </c>
      <c r="D19" s="15">
        <v>0</v>
      </c>
      <c r="E19" s="15">
        <f t="shared" si="0"/>
        <v>0</v>
      </c>
      <c r="F19" s="18">
        <v>10</v>
      </c>
      <c r="G19" s="15">
        <v>200</v>
      </c>
      <c r="H19" s="15">
        <f t="shared" si="4"/>
        <v>2000</v>
      </c>
      <c r="I19" s="18" t="s">
        <v>34</v>
      </c>
      <c r="J19" s="18" t="s">
        <v>34</v>
      </c>
      <c r="K19" s="15">
        <f t="shared" si="9"/>
        <v>2000</v>
      </c>
      <c r="L19" s="16">
        <v>0</v>
      </c>
      <c r="M19" s="15">
        <f t="shared" si="10"/>
        <v>0</v>
      </c>
      <c r="N19" s="19" t="s">
        <v>34</v>
      </c>
      <c r="O19" s="91" t="s">
        <v>63</v>
      </c>
    </row>
    <row r="20" spans="1:17" ht="65" customHeight="1" x14ac:dyDescent="0.2">
      <c r="A20" s="90">
        <v>10</v>
      </c>
      <c r="B20" s="17" t="s">
        <v>52</v>
      </c>
      <c r="C20" s="14">
        <v>0</v>
      </c>
      <c r="D20" s="15">
        <v>0</v>
      </c>
      <c r="E20" s="15">
        <f t="shared" si="0"/>
        <v>0</v>
      </c>
      <c r="F20" s="18">
        <v>1</v>
      </c>
      <c r="G20" s="15">
        <v>2000</v>
      </c>
      <c r="H20" s="15">
        <f t="shared" si="4"/>
        <v>2000</v>
      </c>
      <c r="I20" s="18" t="s">
        <v>34</v>
      </c>
      <c r="J20" s="18" t="s">
        <v>34</v>
      </c>
      <c r="K20" s="15">
        <f t="shared" si="9"/>
        <v>2000</v>
      </c>
      <c r="L20" s="16">
        <v>0</v>
      </c>
      <c r="M20" s="15">
        <f t="shared" si="10"/>
        <v>0</v>
      </c>
      <c r="N20" s="19" t="s">
        <v>34</v>
      </c>
      <c r="O20" s="91" t="s">
        <v>56</v>
      </c>
    </row>
    <row r="21" spans="1:17" ht="65" customHeight="1" x14ac:dyDescent="0.2">
      <c r="A21" s="90">
        <v>11</v>
      </c>
      <c r="B21" s="17" t="s">
        <v>53</v>
      </c>
      <c r="C21" s="14">
        <v>0</v>
      </c>
      <c r="D21" s="15">
        <v>0</v>
      </c>
      <c r="E21" s="15">
        <f t="shared" si="0"/>
        <v>0</v>
      </c>
      <c r="F21" s="18">
        <v>16</v>
      </c>
      <c r="G21" s="15">
        <v>200</v>
      </c>
      <c r="H21" s="15">
        <f t="shared" si="4"/>
        <v>3200</v>
      </c>
      <c r="I21" s="18" t="s">
        <v>34</v>
      </c>
      <c r="J21" s="18" t="s">
        <v>34</v>
      </c>
      <c r="K21" s="15">
        <f t="shared" si="9"/>
        <v>3200</v>
      </c>
      <c r="L21" s="16">
        <v>0</v>
      </c>
      <c r="M21" s="15">
        <f t="shared" si="10"/>
        <v>0</v>
      </c>
      <c r="N21" s="19" t="s">
        <v>34</v>
      </c>
      <c r="O21" s="91" t="s">
        <v>72</v>
      </c>
    </row>
    <row r="22" spans="1:17" ht="71" customHeight="1" x14ac:dyDescent="0.2">
      <c r="A22" s="90">
        <v>12</v>
      </c>
      <c r="B22" s="17" t="s">
        <v>24</v>
      </c>
      <c r="C22" s="14">
        <v>1</v>
      </c>
      <c r="D22" s="15">
        <v>10764.78</v>
      </c>
      <c r="E22" s="15">
        <f t="shared" ref="E22:E23" si="15">C22*D22</f>
        <v>10764.78</v>
      </c>
      <c r="F22" s="18">
        <v>0</v>
      </c>
      <c r="G22" s="15">
        <v>0</v>
      </c>
      <c r="H22" s="15">
        <f t="shared" ref="H22:H23" si="16">F22*G22</f>
        <v>0</v>
      </c>
      <c r="I22" s="18" t="s">
        <v>34</v>
      </c>
      <c r="J22" s="18" t="s">
        <v>34</v>
      </c>
      <c r="K22" s="15">
        <f t="shared" si="5"/>
        <v>0</v>
      </c>
      <c r="L22" s="16">
        <v>0</v>
      </c>
      <c r="M22" s="15">
        <f t="shared" si="6"/>
        <v>0</v>
      </c>
      <c r="N22" s="19" t="s">
        <v>34</v>
      </c>
      <c r="O22" s="91" t="s">
        <v>73</v>
      </c>
    </row>
    <row r="23" spans="1:17" ht="65" customHeight="1" x14ac:dyDescent="0.2">
      <c r="A23" s="90">
        <v>13</v>
      </c>
      <c r="B23" s="17" t="s">
        <v>57</v>
      </c>
      <c r="C23" s="14">
        <v>0</v>
      </c>
      <c r="D23" s="15">
        <v>0</v>
      </c>
      <c r="E23" s="15">
        <f t="shared" si="15"/>
        <v>0</v>
      </c>
      <c r="F23" s="18">
        <v>40</v>
      </c>
      <c r="G23" s="15">
        <v>200</v>
      </c>
      <c r="H23" s="15">
        <f t="shared" si="16"/>
        <v>8000</v>
      </c>
      <c r="I23" s="18" t="s">
        <v>34</v>
      </c>
      <c r="J23" s="18" t="s">
        <v>34</v>
      </c>
      <c r="K23" s="15">
        <f t="shared" si="5"/>
        <v>8000</v>
      </c>
      <c r="L23" s="16">
        <v>0</v>
      </c>
      <c r="M23" s="15">
        <f t="shared" si="6"/>
        <v>0</v>
      </c>
      <c r="N23" s="19" t="s">
        <v>34</v>
      </c>
      <c r="O23" s="91" t="s">
        <v>59</v>
      </c>
    </row>
    <row r="24" spans="1:17" ht="65" customHeight="1" thickBot="1" x14ac:dyDescent="0.25">
      <c r="A24" s="92">
        <v>14</v>
      </c>
      <c r="B24" s="93" t="s">
        <v>58</v>
      </c>
      <c r="C24" s="94">
        <v>0</v>
      </c>
      <c r="D24" s="95">
        <v>0</v>
      </c>
      <c r="E24" s="95">
        <f t="shared" ref="E24" si="17">C24*D24</f>
        <v>0</v>
      </c>
      <c r="F24" s="96">
        <v>1</v>
      </c>
      <c r="G24" s="95">
        <v>2764.78</v>
      </c>
      <c r="H24" s="95">
        <f t="shared" ref="H24" si="18">F24*G24</f>
        <v>2764.78</v>
      </c>
      <c r="I24" s="96">
        <v>3</v>
      </c>
      <c r="J24" s="96">
        <v>20</v>
      </c>
      <c r="K24" s="95">
        <f t="shared" si="5"/>
        <v>2350.0630000000001</v>
      </c>
      <c r="L24" s="97">
        <f t="shared" ref="L24" si="19">IF((I24/J24)&gt;=0.75,0.75,IF((I24/J24)&gt;=0,(I24/J24),IF((I24/J24)&lt;=0.1,0)))</f>
        <v>0.15</v>
      </c>
      <c r="M24" s="95">
        <f t="shared" si="6"/>
        <v>414.7170000000001</v>
      </c>
      <c r="N24" s="98" t="s">
        <v>38</v>
      </c>
      <c r="O24" s="99" t="s">
        <v>60</v>
      </c>
    </row>
    <row r="25" spans="1:17" s="5" customFormat="1" ht="18" customHeight="1" thickBot="1" x14ac:dyDescent="0.25">
      <c r="A25" s="73" t="s">
        <v>15</v>
      </c>
      <c r="B25" s="74"/>
      <c r="C25" s="74"/>
      <c r="D25" s="75"/>
      <c r="E25" s="20">
        <f>SUM(E11:E24)</f>
        <v>24900.78</v>
      </c>
      <c r="F25" s="21"/>
      <c r="G25" s="22"/>
      <c r="H25" s="23">
        <f>SUM(H11:H24)</f>
        <v>24900.78</v>
      </c>
      <c r="I25" s="76"/>
      <c r="J25" s="77"/>
      <c r="K25" s="24">
        <f>SUM(K11:K24)</f>
        <v>24486.063000000002</v>
      </c>
      <c r="L25" s="24"/>
      <c r="M25" s="24">
        <f>SUM(M11:M24)</f>
        <v>414.7170000000001</v>
      </c>
      <c r="N25"/>
    </row>
    <row r="26" spans="1:17" s="5" customFormat="1" ht="18" customHeight="1" x14ac:dyDescent="0.2">
      <c r="A26" s="65" t="s">
        <v>16</v>
      </c>
      <c r="B26" s="66"/>
      <c r="C26" s="66"/>
      <c r="D26" s="67"/>
      <c r="E26" s="25">
        <v>0</v>
      </c>
      <c r="F26" s="26"/>
      <c r="G26" s="27"/>
      <c r="H26" s="25">
        <v>0</v>
      </c>
      <c r="I26" s="80"/>
      <c r="J26" s="81"/>
      <c r="K26" s="28">
        <v>0</v>
      </c>
      <c r="L26" s="28"/>
      <c r="M26" s="28">
        <v>0</v>
      </c>
      <c r="N26"/>
    </row>
    <row r="27" spans="1:17" s="5" customFormat="1" ht="18" customHeight="1" thickBot="1" x14ac:dyDescent="0.25">
      <c r="A27" s="65" t="s">
        <v>14</v>
      </c>
      <c r="B27" s="66"/>
      <c r="C27" s="66"/>
      <c r="D27" s="67"/>
      <c r="E27" s="29">
        <f>SUM(E25:E26)</f>
        <v>24900.78</v>
      </c>
      <c r="F27" s="30"/>
      <c r="G27" s="31"/>
      <c r="H27" s="29">
        <f>SUM(H25,H26)</f>
        <v>24900.78</v>
      </c>
      <c r="I27" s="78"/>
      <c r="J27" s="79"/>
      <c r="K27" s="32">
        <f>SUM(K25:K26)</f>
        <v>24486.063000000002</v>
      </c>
      <c r="L27" s="32"/>
      <c r="M27" s="32">
        <f>SUM(M25:M26)</f>
        <v>414.7170000000001</v>
      </c>
      <c r="N27"/>
    </row>
    <row r="28" spans="1:17" ht="15" customHeight="1" x14ac:dyDescent="0.2">
      <c r="A28" s="2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/>
      <c r="O28" s="2"/>
    </row>
    <row r="29" spans="1:17" ht="12.75" customHeight="1" thickBo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33"/>
    </row>
    <row r="30" spans="1:17" s="10" customFormat="1" ht="25.5" customHeight="1" thickBot="1" x14ac:dyDescent="0.2">
      <c r="A30" s="43" t="s">
        <v>30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5"/>
    </row>
    <row r="31" spans="1:17" ht="24" customHeight="1" thickBot="1" x14ac:dyDescent="0.25">
      <c r="A31" s="46" t="s">
        <v>1</v>
      </c>
      <c r="B31" s="48" t="s">
        <v>2</v>
      </c>
      <c r="C31" s="50" t="s">
        <v>3</v>
      </c>
      <c r="D31" s="51"/>
      <c r="E31" s="52"/>
      <c r="F31" s="50" t="s">
        <v>4</v>
      </c>
      <c r="G31" s="51"/>
      <c r="H31" s="52"/>
      <c r="I31" s="53" t="s">
        <v>5</v>
      </c>
      <c r="J31" s="53" t="s">
        <v>6</v>
      </c>
      <c r="K31" s="53" t="s">
        <v>7</v>
      </c>
      <c r="L31" s="53" t="s">
        <v>8</v>
      </c>
      <c r="M31" s="53" t="s">
        <v>9</v>
      </c>
      <c r="N31" s="53" t="s">
        <v>10</v>
      </c>
      <c r="O31" s="46" t="s">
        <v>11</v>
      </c>
    </row>
    <row r="32" spans="1:17" ht="24" customHeight="1" thickBot="1" x14ac:dyDescent="0.25">
      <c r="A32" s="47"/>
      <c r="B32" s="49"/>
      <c r="C32" s="12" t="s">
        <v>12</v>
      </c>
      <c r="D32" s="11" t="s">
        <v>13</v>
      </c>
      <c r="E32" s="13" t="s">
        <v>14</v>
      </c>
      <c r="F32" s="13" t="s">
        <v>12</v>
      </c>
      <c r="G32" s="13" t="s">
        <v>13</v>
      </c>
      <c r="H32" s="13" t="s">
        <v>14</v>
      </c>
      <c r="I32" s="54"/>
      <c r="J32" s="54"/>
      <c r="K32" s="54"/>
      <c r="L32" s="54"/>
      <c r="M32" s="54"/>
      <c r="N32" s="54"/>
      <c r="O32" s="47"/>
    </row>
    <row r="33" spans="1:15" ht="65" customHeight="1" x14ac:dyDescent="0.2">
      <c r="A33" s="82">
        <v>1</v>
      </c>
      <c r="B33" s="83" t="s">
        <v>31</v>
      </c>
      <c r="C33" s="84">
        <v>7</v>
      </c>
      <c r="D33" s="85">
        <v>802.56</v>
      </c>
      <c r="E33" s="85">
        <f t="shared" ref="E33:E36" si="20">C33*D33</f>
        <v>5617.92</v>
      </c>
      <c r="F33" s="84">
        <v>7</v>
      </c>
      <c r="G33" s="85">
        <v>802.56</v>
      </c>
      <c r="H33" s="85">
        <f>F33*G33</f>
        <v>5617.92</v>
      </c>
      <c r="I33" s="86">
        <v>3</v>
      </c>
      <c r="J33" s="86">
        <v>20</v>
      </c>
      <c r="K33" s="85">
        <f>H33*(1-L33)</f>
        <v>4775.232</v>
      </c>
      <c r="L33" s="87">
        <f>IF((I33/J33)&gt;=0.75,0.75,IF((I33/J33)&gt;=0,(I33/J33),IF((I33/J33)&lt;=0.1,0)))</f>
        <v>0.15</v>
      </c>
      <c r="M33" s="85">
        <f>H33-K33</f>
        <v>842.6880000000001</v>
      </c>
      <c r="N33" s="88" t="s">
        <v>38</v>
      </c>
      <c r="O33" s="89" t="s">
        <v>37</v>
      </c>
    </row>
    <row r="34" spans="1:15" ht="65" customHeight="1" x14ac:dyDescent="0.2">
      <c r="A34" s="90">
        <v>2</v>
      </c>
      <c r="B34" s="17" t="s">
        <v>32</v>
      </c>
      <c r="C34" s="14">
        <v>3</v>
      </c>
      <c r="D34" s="15">
        <v>1330.15</v>
      </c>
      <c r="E34" s="15">
        <f t="shared" si="20"/>
        <v>3990.4500000000003</v>
      </c>
      <c r="F34" s="14">
        <v>3</v>
      </c>
      <c r="G34" s="15">
        <v>1330.15</v>
      </c>
      <c r="H34" s="15">
        <f t="shared" ref="H34:H36" si="21">F34*G34</f>
        <v>3990.4500000000003</v>
      </c>
      <c r="I34" s="18">
        <v>3</v>
      </c>
      <c r="J34" s="18">
        <v>20</v>
      </c>
      <c r="K34" s="15">
        <f t="shared" ref="K34:K36" si="22">H34*(1-L34)</f>
        <v>3391.8825000000002</v>
      </c>
      <c r="L34" s="16">
        <f t="shared" ref="L34" si="23">IF((I34/J34)&gt;=0.75,0.75,IF((I34/J34)&gt;=0,(I34/J34),IF((I34/J34)&lt;=0.1,0)))</f>
        <v>0.15</v>
      </c>
      <c r="M34" s="15">
        <f t="shared" ref="M34:M36" si="24">H34-K34</f>
        <v>598.56750000000011</v>
      </c>
      <c r="N34" s="19" t="s">
        <v>38</v>
      </c>
      <c r="O34" s="91" t="s">
        <v>68</v>
      </c>
    </row>
    <row r="35" spans="1:15" ht="65" customHeight="1" x14ac:dyDescent="0.2">
      <c r="A35" s="90">
        <v>3</v>
      </c>
      <c r="B35" s="17" t="s">
        <v>33</v>
      </c>
      <c r="C35" s="14">
        <v>1</v>
      </c>
      <c r="D35" s="15">
        <v>53.53</v>
      </c>
      <c r="E35" s="15">
        <f t="shared" si="20"/>
        <v>53.53</v>
      </c>
      <c r="F35" s="14">
        <v>1</v>
      </c>
      <c r="G35" s="15">
        <v>53.53</v>
      </c>
      <c r="H35" s="15">
        <f t="shared" si="21"/>
        <v>53.53</v>
      </c>
      <c r="I35" s="18" t="s">
        <v>34</v>
      </c>
      <c r="J35" s="18" t="s">
        <v>34</v>
      </c>
      <c r="K35" s="15">
        <f t="shared" si="22"/>
        <v>53.53</v>
      </c>
      <c r="L35" s="16">
        <v>0</v>
      </c>
      <c r="M35" s="15">
        <f t="shared" si="24"/>
        <v>0</v>
      </c>
      <c r="N35" s="19" t="s">
        <v>34</v>
      </c>
      <c r="O35" s="91" t="s">
        <v>36</v>
      </c>
    </row>
    <row r="36" spans="1:15" ht="65" customHeight="1" thickBot="1" x14ac:dyDescent="0.25">
      <c r="A36" s="92">
        <v>4</v>
      </c>
      <c r="B36" s="93" t="s">
        <v>35</v>
      </c>
      <c r="C36" s="94">
        <v>1</v>
      </c>
      <c r="D36" s="95">
        <v>1238.7</v>
      </c>
      <c r="E36" s="95">
        <f t="shared" si="20"/>
        <v>1238.7</v>
      </c>
      <c r="F36" s="94">
        <v>1</v>
      </c>
      <c r="G36" s="95">
        <v>1238.7</v>
      </c>
      <c r="H36" s="95">
        <f t="shared" si="21"/>
        <v>1238.7</v>
      </c>
      <c r="I36" s="96" t="s">
        <v>34</v>
      </c>
      <c r="J36" s="96" t="s">
        <v>34</v>
      </c>
      <c r="K36" s="95">
        <f t="shared" si="22"/>
        <v>1238.7</v>
      </c>
      <c r="L36" s="97">
        <v>0</v>
      </c>
      <c r="M36" s="95">
        <f t="shared" si="24"/>
        <v>0</v>
      </c>
      <c r="N36" s="98" t="s">
        <v>34</v>
      </c>
      <c r="O36" s="99" t="s">
        <v>39</v>
      </c>
    </row>
    <row r="37" spans="1:15" s="5" customFormat="1" ht="18" customHeight="1" thickBot="1" x14ac:dyDescent="0.25">
      <c r="A37" s="73" t="s">
        <v>15</v>
      </c>
      <c r="B37" s="74"/>
      <c r="C37" s="74"/>
      <c r="D37" s="75"/>
      <c r="E37" s="20">
        <f>SUM(E33:E36)</f>
        <v>10900.600000000002</v>
      </c>
      <c r="F37" s="21"/>
      <c r="G37" s="22"/>
      <c r="H37" s="23">
        <f>SUM(H33:H36)</f>
        <v>10900.600000000002</v>
      </c>
      <c r="I37" s="76"/>
      <c r="J37" s="77"/>
      <c r="K37" s="24">
        <f>SUM(K33:K36)</f>
        <v>9459.3445000000011</v>
      </c>
      <c r="L37" s="24"/>
      <c r="M37" s="24">
        <f>SUM(M33:M36)</f>
        <v>1441.2555000000002</v>
      </c>
      <c r="N37"/>
    </row>
    <row r="38" spans="1:15" s="5" customFormat="1" ht="18" customHeight="1" thickBot="1" x14ac:dyDescent="0.25">
      <c r="A38" s="65" t="s">
        <v>16</v>
      </c>
      <c r="B38" s="66"/>
      <c r="C38" s="66"/>
      <c r="D38" s="67"/>
      <c r="E38" s="25">
        <v>0</v>
      </c>
      <c r="F38" s="26"/>
      <c r="G38" s="27"/>
      <c r="H38" s="25">
        <v>0</v>
      </c>
      <c r="I38" s="80"/>
      <c r="J38" s="81"/>
      <c r="K38" s="28">
        <v>0</v>
      </c>
      <c r="L38" s="28"/>
      <c r="M38" s="28">
        <v>0</v>
      </c>
      <c r="N38"/>
    </row>
    <row r="39" spans="1:15" s="5" customFormat="1" ht="18" customHeight="1" thickBot="1" x14ac:dyDescent="0.25">
      <c r="A39" s="65" t="s">
        <v>14</v>
      </c>
      <c r="B39" s="66"/>
      <c r="C39" s="66"/>
      <c r="D39" s="67"/>
      <c r="E39" s="29">
        <f>SUM(E37:E38)</f>
        <v>10900.600000000002</v>
      </c>
      <c r="F39" s="30"/>
      <c r="G39" s="31"/>
      <c r="H39" s="29">
        <f>SUM(H37,H38)</f>
        <v>10900.600000000002</v>
      </c>
      <c r="I39" s="78"/>
      <c r="J39" s="79"/>
      <c r="K39" s="32">
        <f>SUM(K37:K38)</f>
        <v>9459.3445000000011</v>
      </c>
      <c r="L39" s="32"/>
      <c r="M39" s="32">
        <f>SUM(M37:M38)</f>
        <v>1441.2555000000002</v>
      </c>
      <c r="N39"/>
    </row>
    <row r="40" spans="1:15" ht="15" customHeight="1" x14ac:dyDescent="0.2">
      <c r="A40" s="2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/>
      <c r="O40" s="2"/>
    </row>
    <row r="41" spans="1:15" ht="12.75" customHeight="1" thickBo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33"/>
    </row>
    <row r="42" spans="1:15" s="10" customFormat="1" ht="25.5" customHeight="1" thickBot="1" x14ac:dyDescent="0.2">
      <c r="A42" s="43" t="s">
        <v>40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5"/>
    </row>
    <row r="43" spans="1:15" ht="24" customHeight="1" thickBot="1" x14ac:dyDescent="0.25">
      <c r="A43" s="46" t="s">
        <v>1</v>
      </c>
      <c r="B43" s="48" t="s">
        <v>2</v>
      </c>
      <c r="C43" s="50" t="s">
        <v>3</v>
      </c>
      <c r="D43" s="51"/>
      <c r="E43" s="52"/>
      <c r="F43" s="50" t="s">
        <v>4</v>
      </c>
      <c r="G43" s="51"/>
      <c r="H43" s="52"/>
      <c r="I43" s="53" t="s">
        <v>5</v>
      </c>
      <c r="J43" s="53" t="s">
        <v>6</v>
      </c>
      <c r="K43" s="53" t="s">
        <v>7</v>
      </c>
      <c r="L43" s="53" t="s">
        <v>8</v>
      </c>
      <c r="M43" s="53" t="s">
        <v>9</v>
      </c>
      <c r="N43" s="53" t="s">
        <v>10</v>
      </c>
      <c r="O43" s="46" t="s">
        <v>11</v>
      </c>
    </row>
    <row r="44" spans="1:15" ht="24" customHeight="1" thickBot="1" x14ac:dyDescent="0.25">
      <c r="A44" s="47"/>
      <c r="B44" s="49"/>
      <c r="C44" s="12" t="s">
        <v>12</v>
      </c>
      <c r="D44" s="11" t="s">
        <v>13</v>
      </c>
      <c r="E44" s="13" t="s">
        <v>14</v>
      </c>
      <c r="F44" s="13" t="s">
        <v>12</v>
      </c>
      <c r="G44" s="13" t="s">
        <v>13</v>
      </c>
      <c r="H44" s="13" t="s">
        <v>14</v>
      </c>
      <c r="I44" s="54"/>
      <c r="J44" s="54"/>
      <c r="K44" s="54"/>
      <c r="L44" s="54"/>
      <c r="M44" s="54"/>
      <c r="N44" s="54"/>
      <c r="O44" s="47"/>
    </row>
    <row r="45" spans="1:15" ht="65" customHeight="1" x14ac:dyDescent="0.2">
      <c r="A45" s="82">
        <v>1</v>
      </c>
      <c r="B45" s="83" t="s">
        <v>41</v>
      </c>
      <c r="C45" s="84">
        <v>3</v>
      </c>
      <c r="D45" s="85">
        <v>1039.5</v>
      </c>
      <c r="E45" s="85">
        <f t="shared" ref="E45:E46" si="25">C45*D45</f>
        <v>3118.5</v>
      </c>
      <c r="F45" s="84">
        <v>3</v>
      </c>
      <c r="G45" s="85">
        <v>1039.5</v>
      </c>
      <c r="H45" s="85">
        <f>F45*G45</f>
        <v>3118.5</v>
      </c>
      <c r="I45" s="86">
        <v>3</v>
      </c>
      <c r="J45" s="86">
        <v>20</v>
      </c>
      <c r="K45" s="85">
        <f>H45*(1-L45)</f>
        <v>2650.7249999999999</v>
      </c>
      <c r="L45" s="87">
        <f>IF((I45/J45)&gt;=0.75,0.75,IF((I45/J45)&gt;=0,(I45/J45),IF((I45/J45)&lt;=0.1,0)))</f>
        <v>0.15</v>
      </c>
      <c r="M45" s="85">
        <f>H45-K45</f>
        <v>467.77500000000009</v>
      </c>
      <c r="N45" s="88" t="s">
        <v>38</v>
      </c>
      <c r="O45" s="89" t="s">
        <v>42</v>
      </c>
    </row>
    <row r="46" spans="1:15" ht="65" customHeight="1" thickBot="1" x14ac:dyDescent="0.25">
      <c r="A46" s="92">
        <v>2</v>
      </c>
      <c r="B46" s="93" t="s">
        <v>35</v>
      </c>
      <c r="C46" s="94">
        <v>1</v>
      </c>
      <c r="D46" s="95">
        <v>474.39</v>
      </c>
      <c r="E46" s="95">
        <f t="shared" si="25"/>
        <v>474.39</v>
      </c>
      <c r="F46" s="94">
        <v>1</v>
      </c>
      <c r="G46" s="95">
        <v>474.39</v>
      </c>
      <c r="H46" s="95">
        <f t="shared" ref="H46" si="26">F46*G46</f>
        <v>474.39</v>
      </c>
      <c r="I46" s="96" t="s">
        <v>34</v>
      </c>
      <c r="J46" s="96" t="s">
        <v>34</v>
      </c>
      <c r="K46" s="95">
        <f t="shared" ref="K46" si="27">H46*(1-L46)</f>
        <v>474.39</v>
      </c>
      <c r="L46" s="97">
        <v>0</v>
      </c>
      <c r="M46" s="95">
        <f t="shared" ref="M46" si="28">H46-K46</f>
        <v>0</v>
      </c>
      <c r="N46" s="98" t="s">
        <v>34</v>
      </c>
      <c r="O46" s="99" t="s">
        <v>43</v>
      </c>
    </row>
    <row r="47" spans="1:15" s="5" customFormat="1" ht="18" customHeight="1" thickBot="1" x14ac:dyDescent="0.25">
      <c r="A47" s="73" t="s">
        <v>15</v>
      </c>
      <c r="B47" s="74"/>
      <c r="C47" s="74"/>
      <c r="D47" s="75"/>
      <c r="E47" s="20">
        <f>SUM(E45:E46)</f>
        <v>3592.89</v>
      </c>
      <c r="F47" s="21"/>
      <c r="G47" s="22"/>
      <c r="H47" s="23">
        <f>SUM(H45:H46)</f>
        <v>3592.89</v>
      </c>
      <c r="I47" s="76"/>
      <c r="J47" s="77"/>
      <c r="K47" s="24">
        <f>SUM(K45:K46)</f>
        <v>3125.1149999999998</v>
      </c>
      <c r="L47" s="24"/>
      <c r="M47" s="24">
        <f>SUM(M45:M46)</f>
        <v>467.77500000000009</v>
      </c>
      <c r="N47"/>
    </row>
    <row r="48" spans="1:15" s="5" customFormat="1" ht="18" customHeight="1" thickBot="1" x14ac:dyDescent="0.25">
      <c r="A48" s="65" t="s">
        <v>16</v>
      </c>
      <c r="B48" s="66"/>
      <c r="C48" s="66"/>
      <c r="D48" s="67"/>
      <c r="E48" s="25">
        <v>0</v>
      </c>
      <c r="F48" s="26"/>
      <c r="G48" s="27"/>
      <c r="H48" s="25">
        <v>0</v>
      </c>
      <c r="I48" s="80"/>
      <c r="J48" s="81"/>
      <c r="K48" s="28">
        <v>0</v>
      </c>
      <c r="L48" s="28"/>
      <c r="M48" s="28">
        <v>0</v>
      </c>
      <c r="N48"/>
    </row>
    <row r="49" spans="1:18" s="5" customFormat="1" ht="18" customHeight="1" thickBot="1" x14ac:dyDescent="0.25">
      <c r="A49" s="65" t="s">
        <v>14</v>
      </c>
      <c r="B49" s="66"/>
      <c r="C49" s="66"/>
      <c r="D49" s="67"/>
      <c r="E49" s="29">
        <f>SUM(E47:E48)</f>
        <v>3592.89</v>
      </c>
      <c r="F49" s="30"/>
      <c r="G49" s="31"/>
      <c r="H49" s="29">
        <f>SUM(H47,H48)</f>
        <v>3592.89</v>
      </c>
      <c r="I49" s="78"/>
      <c r="J49" s="79"/>
      <c r="K49" s="32">
        <f>SUM(K47:K48)</f>
        <v>3125.1149999999998</v>
      </c>
      <c r="L49" s="32"/>
      <c r="M49" s="32">
        <f>SUM(M47:M48)</f>
        <v>467.77500000000009</v>
      </c>
      <c r="N49"/>
    </row>
    <row r="50" spans="1:18" ht="15" customHeight="1" x14ac:dyDescent="0.2">
      <c r="A50" s="2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/>
      <c r="O50" s="2"/>
    </row>
    <row r="51" spans="1:18" ht="12.75" customHeight="1" thickBo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33"/>
    </row>
    <row r="52" spans="1:18" s="10" customFormat="1" ht="25.5" customHeight="1" thickBot="1" x14ac:dyDescent="0.2">
      <c r="A52" s="43" t="s">
        <v>74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5"/>
    </row>
    <row r="53" spans="1:18" ht="24" customHeight="1" thickBot="1" x14ac:dyDescent="0.25">
      <c r="A53" s="46" t="s">
        <v>1</v>
      </c>
      <c r="B53" s="48" t="s">
        <v>2</v>
      </c>
      <c r="C53" s="50" t="s">
        <v>3</v>
      </c>
      <c r="D53" s="51"/>
      <c r="E53" s="52"/>
      <c r="F53" s="50" t="s">
        <v>4</v>
      </c>
      <c r="G53" s="51"/>
      <c r="H53" s="52"/>
      <c r="I53" s="53" t="s">
        <v>5</v>
      </c>
      <c r="J53" s="53" t="s">
        <v>6</v>
      </c>
      <c r="K53" s="53" t="s">
        <v>7</v>
      </c>
      <c r="L53" s="53" t="s">
        <v>8</v>
      </c>
      <c r="M53" s="53" t="s">
        <v>9</v>
      </c>
      <c r="N53" s="53" t="s">
        <v>10</v>
      </c>
      <c r="O53" s="46" t="s">
        <v>11</v>
      </c>
    </row>
    <row r="54" spans="1:18" ht="24" customHeight="1" thickBot="1" x14ac:dyDescent="0.25">
      <c r="A54" s="47"/>
      <c r="B54" s="49"/>
      <c r="C54" s="12" t="s">
        <v>12</v>
      </c>
      <c r="D54" s="11" t="s">
        <v>13</v>
      </c>
      <c r="E54" s="13" t="s">
        <v>14</v>
      </c>
      <c r="F54" s="13" t="s">
        <v>12</v>
      </c>
      <c r="G54" s="13" t="s">
        <v>13</v>
      </c>
      <c r="H54" s="13" t="s">
        <v>14</v>
      </c>
      <c r="I54" s="54"/>
      <c r="J54" s="54"/>
      <c r="K54" s="54"/>
      <c r="L54" s="54"/>
      <c r="M54" s="54"/>
      <c r="N54" s="54"/>
      <c r="O54" s="47"/>
    </row>
    <row r="55" spans="1:18" ht="81" customHeight="1" thickBot="1" x14ac:dyDescent="0.25">
      <c r="A55" s="100">
        <v>1</v>
      </c>
      <c r="B55" s="101" t="s">
        <v>75</v>
      </c>
      <c r="C55" s="102">
        <v>1</v>
      </c>
      <c r="D55" s="103">
        <v>1000</v>
      </c>
      <c r="E55" s="103">
        <f t="shared" ref="E55" si="29">C55*D55</f>
        <v>1000</v>
      </c>
      <c r="F55" s="102">
        <v>1</v>
      </c>
      <c r="G55" s="103">
        <v>1000</v>
      </c>
      <c r="H55" s="103">
        <f>F55*G55</f>
        <v>1000</v>
      </c>
      <c r="I55" s="104" t="s">
        <v>34</v>
      </c>
      <c r="J55" s="104" t="s">
        <v>34</v>
      </c>
      <c r="K55" s="103">
        <f>H55*(1-L55)</f>
        <v>1000</v>
      </c>
      <c r="L55" s="105">
        <v>0</v>
      </c>
      <c r="M55" s="103">
        <f>H55-K55</f>
        <v>0</v>
      </c>
      <c r="N55" s="106" t="s">
        <v>34</v>
      </c>
      <c r="O55" s="107" t="s">
        <v>76</v>
      </c>
    </row>
    <row r="56" spans="1:18" s="5" customFormat="1" ht="18" customHeight="1" thickBot="1" x14ac:dyDescent="0.25">
      <c r="A56" s="73" t="s">
        <v>15</v>
      </c>
      <c r="B56" s="74"/>
      <c r="C56" s="74"/>
      <c r="D56" s="75"/>
      <c r="E56" s="20">
        <f>SUM(E55:E55)</f>
        <v>1000</v>
      </c>
      <c r="F56" s="21"/>
      <c r="G56" s="22"/>
      <c r="H56" s="23">
        <f>SUM(H55:H55)</f>
        <v>1000</v>
      </c>
      <c r="I56" s="76"/>
      <c r="J56" s="77"/>
      <c r="K56" s="24">
        <f>SUM(K55:K55)</f>
        <v>1000</v>
      </c>
      <c r="L56" s="24"/>
      <c r="M56" s="24">
        <f>SUM(M55:M55)</f>
        <v>0</v>
      </c>
      <c r="N56"/>
    </row>
    <row r="57" spans="1:18" s="5" customFormat="1" ht="18" customHeight="1" thickBot="1" x14ac:dyDescent="0.25">
      <c r="A57" s="65" t="s">
        <v>16</v>
      </c>
      <c r="B57" s="66"/>
      <c r="C57" s="66"/>
      <c r="D57" s="67"/>
      <c r="E57" s="25">
        <v>0</v>
      </c>
      <c r="F57" s="26"/>
      <c r="G57" s="27"/>
      <c r="H57" s="25">
        <v>0</v>
      </c>
      <c r="I57" s="80"/>
      <c r="J57" s="81"/>
      <c r="K57" s="28">
        <v>0</v>
      </c>
      <c r="L57" s="28"/>
      <c r="M57" s="28">
        <v>0</v>
      </c>
      <c r="N57"/>
    </row>
    <row r="58" spans="1:18" s="5" customFormat="1" ht="18" customHeight="1" thickBot="1" x14ac:dyDescent="0.25">
      <c r="A58" s="65" t="s">
        <v>14</v>
      </c>
      <c r="B58" s="66"/>
      <c r="C58" s="66"/>
      <c r="D58" s="67"/>
      <c r="E58" s="29">
        <f>SUM(E56:E57)</f>
        <v>1000</v>
      </c>
      <c r="F58" s="30"/>
      <c r="G58" s="31"/>
      <c r="H58" s="29">
        <f>SUM(H56,H57)</f>
        <v>1000</v>
      </c>
      <c r="I58" s="78"/>
      <c r="J58" s="79"/>
      <c r="K58" s="32">
        <f>SUM(K56:K57)</f>
        <v>1000</v>
      </c>
      <c r="L58" s="32"/>
      <c r="M58" s="32">
        <f>SUM(M56:M57)</f>
        <v>0</v>
      </c>
      <c r="N58"/>
    </row>
    <row r="61" spans="1:18" s="10" customFormat="1" ht="25.5" customHeight="1" x14ac:dyDescent="0.15">
      <c r="A61" s="43" t="s">
        <v>61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5"/>
    </row>
    <row r="62" spans="1:18" ht="24" customHeight="1" x14ac:dyDescent="0.2">
      <c r="A62" s="46" t="s">
        <v>1</v>
      </c>
      <c r="B62" s="48" t="s">
        <v>2</v>
      </c>
      <c r="C62" s="50" t="s">
        <v>3</v>
      </c>
      <c r="D62" s="51"/>
      <c r="E62" s="52"/>
      <c r="F62" s="50" t="s">
        <v>4</v>
      </c>
      <c r="G62" s="51"/>
      <c r="H62" s="52"/>
      <c r="I62" s="53" t="s">
        <v>5</v>
      </c>
      <c r="J62" s="53" t="s">
        <v>6</v>
      </c>
      <c r="K62" s="53" t="s">
        <v>7</v>
      </c>
      <c r="L62" s="53" t="s">
        <v>8</v>
      </c>
      <c r="M62" s="53" t="s">
        <v>9</v>
      </c>
      <c r="N62" s="53" t="s">
        <v>10</v>
      </c>
      <c r="O62" s="46" t="s">
        <v>11</v>
      </c>
    </row>
    <row r="63" spans="1:18" s="5" customFormat="1" ht="24" customHeight="1" thickBot="1" x14ac:dyDescent="0.25">
      <c r="A63" s="47"/>
      <c r="B63" s="49"/>
      <c r="C63" s="12" t="s">
        <v>12</v>
      </c>
      <c r="D63" s="11" t="s">
        <v>13</v>
      </c>
      <c r="E63" s="13" t="s">
        <v>14</v>
      </c>
      <c r="F63" s="13" t="s">
        <v>12</v>
      </c>
      <c r="G63" s="13" t="s">
        <v>13</v>
      </c>
      <c r="H63" s="13" t="s">
        <v>14</v>
      </c>
      <c r="I63" s="54"/>
      <c r="J63" s="54"/>
      <c r="K63" s="54"/>
      <c r="L63" s="54"/>
      <c r="M63" s="54"/>
      <c r="N63" s="54"/>
      <c r="O63" s="47"/>
    </row>
    <row r="64" spans="1:18" s="5" customFormat="1" ht="65" customHeight="1" x14ac:dyDescent="0.2">
      <c r="A64" s="82">
        <v>1</v>
      </c>
      <c r="B64" s="83" t="s">
        <v>21</v>
      </c>
      <c r="C64" s="84">
        <v>1</v>
      </c>
      <c r="D64" s="85">
        <v>1500</v>
      </c>
      <c r="E64" s="85">
        <f>C64*D64</f>
        <v>1500</v>
      </c>
      <c r="F64" s="84">
        <v>1</v>
      </c>
      <c r="G64" s="85">
        <v>1500</v>
      </c>
      <c r="H64" s="85">
        <f>F64*G64</f>
        <v>1500</v>
      </c>
      <c r="I64" s="86">
        <v>3</v>
      </c>
      <c r="J64" s="86">
        <v>20</v>
      </c>
      <c r="K64" s="85">
        <f>H64*(1-L64)</f>
        <v>1275</v>
      </c>
      <c r="L64" s="87">
        <f>IF((I64/J64)&gt;=0.75,0.75,IF((I64/J64)&gt;=0,(I64/J64),IF((I64/J64)&lt;=1,0)))</f>
        <v>0.15</v>
      </c>
      <c r="M64" s="85">
        <f>H64-K64</f>
        <v>225</v>
      </c>
      <c r="N64" s="88" t="s">
        <v>38</v>
      </c>
      <c r="O64" s="89" t="s">
        <v>66</v>
      </c>
      <c r="R64" s="34"/>
    </row>
    <row r="65" spans="1:15" s="5" customFormat="1" ht="75" customHeight="1" thickBot="1" x14ac:dyDescent="0.25">
      <c r="A65" s="109">
        <v>2</v>
      </c>
      <c r="B65" s="110" t="s">
        <v>69</v>
      </c>
      <c r="C65" s="94">
        <v>1</v>
      </c>
      <c r="D65" s="111">
        <v>4500</v>
      </c>
      <c r="E65" s="111">
        <f t="shared" ref="E65" si="30">C65*D65</f>
        <v>4500</v>
      </c>
      <c r="F65" s="94">
        <v>1</v>
      </c>
      <c r="G65" s="111">
        <v>4500</v>
      </c>
      <c r="H65" s="111">
        <f t="shared" ref="H65" si="31">F65*G65</f>
        <v>4500</v>
      </c>
      <c r="I65" s="112" t="s">
        <v>34</v>
      </c>
      <c r="J65" s="112" t="s">
        <v>34</v>
      </c>
      <c r="K65" s="95">
        <f t="shared" ref="K65" si="32">H65*(1-L65)</f>
        <v>4500</v>
      </c>
      <c r="L65" s="97">
        <v>0</v>
      </c>
      <c r="M65" s="95">
        <f t="shared" ref="M65" si="33">H65-K65</f>
        <v>0</v>
      </c>
      <c r="N65" s="113" t="s">
        <v>34</v>
      </c>
      <c r="O65" s="114" t="s">
        <v>77</v>
      </c>
    </row>
    <row r="66" spans="1:15" s="5" customFormat="1" ht="18" customHeight="1" thickBot="1" x14ac:dyDescent="0.25">
      <c r="A66" s="73" t="s">
        <v>15</v>
      </c>
      <c r="B66" s="74"/>
      <c r="C66" s="74"/>
      <c r="D66" s="75"/>
      <c r="E66" s="20">
        <f>SUM(E64:E65)</f>
        <v>6000</v>
      </c>
      <c r="F66" s="21"/>
      <c r="G66" s="22"/>
      <c r="H66" s="23">
        <f>SUM(H64:H65)</f>
        <v>6000</v>
      </c>
      <c r="I66" s="76"/>
      <c r="J66" s="77"/>
      <c r="K66" s="24">
        <f>SUM(K64:K65)</f>
        <v>5775</v>
      </c>
      <c r="L66" s="24"/>
      <c r="M66" s="24">
        <f>SUM(M64:M65)</f>
        <v>225</v>
      </c>
      <c r="N66"/>
    </row>
    <row r="67" spans="1:15" s="5" customFormat="1" ht="18" customHeight="1" x14ac:dyDescent="0.2">
      <c r="A67" s="65" t="s">
        <v>16</v>
      </c>
      <c r="B67" s="66"/>
      <c r="C67" s="66"/>
      <c r="D67" s="67"/>
      <c r="E67" s="25">
        <v>0</v>
      </c>
      <c r="F67" s="26"/>
      <c r="G67" s="27"/>
      <c r="H67" s="25">
        <v>0</v>
      </c>
      <c r="I67" s="80"/>
      <c r="J67" s="81"/>
      <c r="K67" s="28">
        <v>0</v>
      </c>
      <c r="L67" s="28"/>
      <c r="M67" s="28">
        <v>0</v>
      </c>
      <c r="N67"/>
    </row>
    <row r="68" spans="1:15" s="5" customFormat="1" ht="18" customHeight="1" thickBot="1" x14ac:dyDescent="0.25">
      <c r="A68" s="65" t="s">
        <v>14</v>
      </c>
      <c r="B68" s="66"/>
      <c r="C68" s="66"/>
      <c r="D68" s="67"/>
      <c r="E68" s="29">
        <f>SUM(E66:E67)</f>
        <v>6000</v>
      </c>
      <c r="F68" s="30"/>
      <c r="G68" s="31"/>
      <c r="H68" s="29">
        <f>SUM(H66,H67)</f>
        <v>6000</v>
      </c>
      <c r="I68" s="78"/>
      <c r="J68" s="79"/>
      <c r="K68" s="32">
        <f>SUM(K66:K67)</f>
        <v>5775</v>
      </c>
      <c r="L68" s="32"/>
      <c r="M68" s="32">
        <f>SUM(M66:M67)</f>
        <v>225</v>
      </c>
      <c r="N68"/>
    </row>
    <row r="69" spans="1:15" ht="12.75" customHeight="1" x14ac:dyDescent="0.2">
      <c r="A69" s="72"/>
      <c r="B69" s="7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1" spans="1:15" x14ac:dyDescent="0.2">
      <c r="B71" s="35" t="s">
        <v>17</v>
      </c>
      <c r="C71" s="36"/>
      <c r="D71" s="37"/>
      <c r="E71" s="41">
        <f>E68+E58+E49+E39+E27</f>
        <v>46394.270000000004</v>
      </c>
    </row>
    <row r="72" spans="1:15" x14ac:dyDescent="0.2">
      <c r="B72" s="38"/>
      <c r="C72" s="39"/>
      <c r="D72" s="40"/>
      <c r="E72" s="55"/>
    </row>
    <row r="74" spans="1:15" x14ac:dyDescent="0.2">
      <c r="B74" s="35" t="s">
        <v>18</v>
      </c>
      <c r="C74" s="36"/>
      <c r="D74" s="37"/>
      <c r="E74" s="41">
        <f>H68+H58+H49+H39+H27</f>
        <v>46394.270000000004</v>
      </c>
    </row>
    <row r="75" spans="1:15" ht="17" thickBot="1" x14ac:dyDescent="0.25">
      <c r="B75" s="38"/>
      <c r="C75" s="39"/>
      <c r="D75" s="40"/>
      <c r="E75" s="55"/>
    </row>
    <row r="76" spans="1:15" hidden="1" x14ac:dyDescent="0.2"/>
    <row r="77" spans="1:15" hidden="1" x14ac:dyDescent="0.2">
      <c r="B77" s="35" t="s">
        <v>19</v>
      </c>
      <c r="C77" s="36"/>
      <c r="D77" s="37"/>
      <c r="E77" s="41">
        <f>K68+K58+K49+K39+K27</f>
        <v>43845.522500000006</v>
      </c>
    </row>
    <row r="78" spans="1:15" hidden="1" x14ac:dyDescent="0.2">
      <c r="B78" s="38"/>
      <c r="C78" s="39"/>
      <c r="D78" s="40"/>
      <c r="E78" s="55"/>
      <c r="I78" s="8"/>
      <c r="J78" s="8"/>
      <c r="K78" s="8"/>
      <c r="L78" s="8"/>
    </row>
    <row r="79" spans="1:15" hidden="1" x14ac:dyDescent="0.2">
      <c r="I79" s="8"/>
      <c r="J79" s="8"/>
      <c r="K79" s="8"/>
      <c r="L79" s="8"/>
    </row>
    <row r="80" spans="1:15" hidden="1" x14ac:dyDescent="0.2">
      <c r="B80" s="35" t="s">
        <v>20</v>
      </c>
      <c r="C80" s="36"/>
      <c r="D80" s="37"/>
      <c r="E80" s="41">
        <f>M68+M58+M49+M39+M27</f>
        <v>2548.7475000000004</v>
      </c>
    </row>
    <row r="81" spans="2:5" hidden="1" x14ac:dyDescent="0.2">
      <c r="B81" s="38"/>
      <c r="C81" s="39"/>
      <c r="D81" s="40"/>
      <c r="E81" s="42"/>
    </row>
  </sheetData>
  <mergeCells count="105">
    <mergeCell ref="A37:D37"/>
    <mergeCell ref="I37:J37"/>
    <mergeCell ref="A38:D38"/>
    <mergeCell ref="I38:J38"/>
    <mergeCell ref="A39:D39"/>
    <mergeCell ref="I39:J39"/>
    <mergeCell ref="A48:D48"/>
    <mergeCell ref="I48:J48"/>
    <mergeCell ref="A49:D49"/>
    <mergeCell ref="I49:J49"/>
    <mergeCell ref="A30:O30"/>
    <mergeCell ref="A31:A32"/>
    <mergeCell ref="B31:B32"/>
    <mergeCell ref="C31:E31"/>
    <mergeCell ref="F31:H31"/>
    <mergeCell ref="I31:I32"/>
    <mergeCell ref="J31:J32"/>
    <mergeCell ref="K31:K32"/>
    <mergeCell ref="L31:L32"/>
    <mergeCell ref="M31:M32"/>
    <mergeCell ref="N31:N32"/>
    <mergeCell ref="O31:O32"/>
    <mergeCell ref="L43:L44"/>
    <mergeCell ref="M43:M44"/>
    <mergeCell ref="N43:N44"/>
    <mergeCell ref="O43:O44"/>
    <mergeCell ref="A47:D47"/>
    <mergeCell ref="I47:J47"/>
    <mergeCell ref="A56:D56"/>
    <mergeCell ref="I56:J56"/>
    <mergeCell ref="A57:D57"/>
    <mergeCell ref="I57:J57"/>
    <mergeCell ref="A58:D58"/>
    <mergeCell ref="I58:J58"/>
    <mergeCell ref="A52:O52"/>
    <mergeCell ref="A53:A54"/>
    <mergeCell ref="B53:B54"/>
    <mergeCell ref="C53:E53"/>
    <mergeCell ref="F53:H53"/>
    <mergeCell ref="I53:I54"/>
    <mergeCell ref="J53:J54"/>
    <mergeCell ref="K53:K54"/>
    <mergeCell ref="L53:L54"/>
    <mergeCell ref="M53:M54"/>
    <mergeCell ref="N53:N54"/>
    <mergeCell ref="O53:O54"/>
    <mergeCell ref="I27:J27"/>
    <mergeCell ref="A67:D67"/>
    <mergeCell ref="I67:J67"/>
    <mergeCell ref="A68:D68"/>
    <mergeCell ref="I68:J68"/>
    <mergeCell ref="A25:D25"/>
    <mergeCell ref="I25:J25"/>
    <mergeCell ref="I26:J26"/>
    <mergeCell ref="A42:O42"/>
    <mergeCell ref="A43:A44"/>
    <mergeCell ref="B43:B44"/>
    <mergeCell ref="C43:E43"/>
    <mergeCell ref="F43:H43"/>
    <mergeCell ref="I43:I44"/>
    <mergeCell ref="J43:J44"/>
    <mergeCell ref="K43:K44"/>
    <mergeCell ref="G4:H5"/>
    <mergeCell ref="A69:B69"/>
    <mergeCell ref="F62:H62"/>
    <mergeCell ref="A62:A63"/>
    <mergeCell ref="A61:O61"/>
    <mergeCell ref="C62:E62"/>
    <mergeCell ref="B62:B63"/>
    <mergeCell ref="A66:D66"/>
    <mergeCell ref="I66:J66"/>
    <mergeCell ref="L62:L63"/>
    <mergeCell ref="O62:O63"/>
    <mergeCell ref="I62:I63"/>
    <mergeCell ref="J62:J63"/>
    <mergeCell ref="K62:K63"/>
    <mergeCell ref="M62:M63"/>
    <mergeCell ref="N62:N63"/>
    <mergeCell ref="B77:D78"/>
    <mergeCell ref="E77:E78"/>
    <mergeCell ref="A1:E1"/>
    <mergeCell ref="A2:E2"/>
    <mergeCell ref="A3:E3"/>
    <mergeCell ref="A4:E4"/>
    <mergeCell ref="A5:E5"/>
    <mergeCell ref="E71:E72"/>
    <mergeCell ref="E74:E75"/>
    <mergeCell ref="A26:D26"/>
    <mergeCell ref="A27:D27"/>
    <mergeCell ref="B80:D81"/>
    <mergeCell ref="E80:E81"/>
    <mergeCell ref="B71:D72"/>
    <mergeCell ref="B74:D75"/>
    <mergeCell ref="A8:O8"/>
    <mergeCell ref="A9:A10"/>
    <mergeCell ref="B9:B10"/>
    <mergeCell ref="C9:E9"/>
    <mergeCell ref="F9:H9"/>
    <mergeCell ref="I9:I10"/>
    <mergeCell ref="J9:J10"/>
    <mergeCell ref="K9:K10"/>
    <mergeCell ref="L9:L10"/>
    <mergeCell ref="M9:M10"/>
    <mergeCell ref="N9:N10"/>
    <mergeCell ref="O9:O10"/>
  </mergeCells>
  <phoneticPr fontId="1" type="noConversion"/>
  <pageMargins left="0.25" right="0.25" top="0.75" bottom="0.75" header="0.3" footer="0.3"/>
  <pageSetup scale="55" fitToHeight="20" orientation="landscape" horizontalDpi="300" verticalDpi="1200" r:id="rId1"/>
  <headerFooter alignWithMargins="0">
    <oddFooter>&amp;C&amp;"Times New Roman,Regular"Page &amp;P of &amp;N
© 2022 by Loss Solutions Group, LLC. All rights reserved.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Loss Solutions Group</dc:creator>
  <cp:keywords/>
  <dc:description/>
  <cp:lastModifiedBy>Emma Muhleman</cp:lastModifiedBy>
  <cp:revision/>
  <dcterms:created xsi:type="dcterms:W3CDTF">2007-08-27T01:37:34Z</dcterms:created>
  <dcterms:modified xsi:type="dcterms:W3CDTF">2025-10-14T17:09:58Z</dcterms:modified>
  <cp:category/>
  <cp:contentStatus/>
</cp:coreProperties>
</file>