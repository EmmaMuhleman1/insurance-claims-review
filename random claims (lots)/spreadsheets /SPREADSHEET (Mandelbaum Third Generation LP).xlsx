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787200.12479-00 - Mandelbaum Third Generation LP/"/>
    </mc:Choice>
  </mc:AlternateContent>
  <xr:revisionPtr revIDLastSave="0" documentId="13_ncr:1_{E4113E9F-FFF1-1345-9D9D-5B78AD0FA187}" xr6:coauthVersionLast="47" xr6:coauthVersionMax="47" xr10:uidLastSave="{00000000-0000-0000-0000-000000000000}"/>
  <bookViews>
    <workbookView xWindow="6440" yWindow="1160" windowWidth="27840" windowHeight="195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5" i="1" l="1"/>
  <c r="M64" i="1"/>
  <c r="K64" i="1"/>
  <c r="M109" i="1"/>
  <c r="K109" i="1"/>
  <c r="M125" i="1"/>
  <c r="K125" i="1"/>
  <c r="L156" i="1" l="1"/>
  <c r="H156" i="1"/>
  <c r="E156" i="1"/>
  <c r="L155" i="1"/>
  <c r="H155" i="1"/>
  <c r="E155" i="1"/>
  <c r="L154" i="1"/>
  <c r="H154" i="1"/>
  <c r="E154" i="1"/>
  <c r="L136" i="1"/>
  <c r="H136" i="1"/>
  <c r="E136" i="1"/>
  <c r="L135" i="1"/>
  <c r="H135" i="1"/>
  <c r="K135" i="1" s="1"/>
  <c r="M135" i="1" s="1"/>
  <c r="E135" i="1"/>
  <c r="L134" i="1"/>
  <c r="H134" i="1"/>
  <c r="E134" i="1"/>
  <c r="L133" i="1"/>
  <c r="H133" i="1"/>
  <c r="K133" i="1" s="1"/>
  <c r="M133" i="1" s="1"/>
  <c r="E133" i="1"/>
  <c r="L138" i="1"/>
  <c r="H138" i="1"/>
  <c r="E138" i="1"/>
  <c r="L137" i="1"/>
  <c r="H137" i="1"/>
  <c r="E137" i="1"/>
  <c r="L141" i="1"/>
  <c r="H141" i="1"/>
  <c r="E141" i="1"/>
  <c r="L140" i="1"/>
  <c r="H140" i="1"/>
  <c r="E140" i="1"/>
  <c r="L139" i="1"/>
  <c r="H139" i="1"/>
  <c r="E139" i="1"/>
  <c r="H122" i="1"/>
  <c r="E122" i="1"/>
  <c r="L119" i="1"/>
  <c r="H119" i="1"/>
  <c r="E119" i="1"/>
  <c r="L118" i="1"/>
  <c r="H118" i="1"/>
  <c r="E118" i="1"/>
  <c r="L117" i="1"/>
  <c r="H117" i="1"/>
  <c r="E117" i="1"/>
  <c r="K156" i="1" l="1"/>
  <c r="M156" i="1" s="1"/>
  <c r="K155" i="1"/>
  <c r="M155" i="1" s="1"/>
  <c r="K154" i="1"/>
  <c r="M154" i="1" s="1"/>
  <c r="K140" i="1"/>
  <c r="M140" i="1" s="1"/>
  <c r="K137" i="1"/>
  <c r="M137" i="1" s="1"/>
  <c r="K134" i="1"/>
  <c r="M134" i="1" s="1"/>
  <c r="K136" i="1"/>
  <c r="M136" i="1" s="1"/>
  <c r="K138" i="1"/>
  <c r="M138" i="1" s="1"/>
  <c r="K139" i="1"/>
  <c r="M139" i="1" s="1"/>
  <c r="K141" i="1"/>
  <c r="M141" i="1" s="1"/>
  <c r="K122" i="1"/>
  <c r="M122" i="1" s="1"/>
  <c r="K118" i="1"/>
  <c r="M118" i="1" s="1"/>
  <c r="K117" i="1"/>
  <c r="M117" i="1" s="1"/>
  <c r="K119" i="1"/>
  <c r="M119" i="1" s="1"/>
  <c r="H166" i="1" l="1"/>
  <c r="E166" i="1"/>
  <c r="E167" i="1"/>
  <c r="E165" i="1"/>
  <c r="E164" i="1"/>
  <c r="E163" i="1"/>
  <c r="E162" i="1"/>
  <c r="E161" i="1"/>
  <c r="E160" i="1"/>
  <c r="E159" i="1"/>
  <c r="E158" i="1"/>
  <c r="E157" i="1"/>
  <c r="H167" i="1"/>
  <c r="H165" i="1"/>
  <c r="H164" i="1"/>
  <c r="H163" i="1"/>
  <c r="H162" i="1"/>
  <c r="H161" i="1"/>
  <c r="H160" i="1"/>
  <c r="H159" i="1"/>
  <c r="H158" i="1"/>
  <c r="H157" i="1"/>
  <c r="L159" i="1"/>
  <c r="L158" i="1"/>
  <c r="L157" i="1"/>
  <c r="L162" i="1"/>
  <c r="L161" i="1"/>
  <c r="L160" i="1"/>
  <c r="H97" i="1"/>
  <c r="H96" i="1"/>
  <c r="H95" i="1"/>
  <c r="H94" i="1"/>
  <c r="F62" i="1"/>
  <c r="F53" i="1"/>
  <c r="K158" i="1" l="1"/>
  <c r="M158" i="1" s="1"/>
  <c r="K161" i="1"/>
  <c r="M161" i="1" s="1"/>
  <c r="K166" i="1"/>
  <c r="M166" i="1" s="1"/>
  <c r="K157" i="1"/>
  <c r="M157" i="1" s="1"/>
  <c r="K159" i="1"/>
  <c r="M159" i="1" s="1"/>
  <c r="K160" i="1"/>
  <c r="M160" i="1" s="1"/>
  <c r="K162" i="1"/>
  <c r="M162" i="1" s="1"/>
  <c r="L34" i="1"/>
  <c r="L23" i="1"/>
  <c r="H34" i="1"/>
  <c r="F24" i="1"/>
  <c r="H24" i="1" s="1"/>
  <c r="C44" i="1"/>
  <c r="D11" i="1"/>
  <c r="H44" i="1"/>
  <c r="H73" i="1"/>
  <c r="E73" i="1"/>
  <c r="L72" i="1"/>
  <c r="H72" i="1"/>
  <c r="E72" i="1"/>
  <c r="L71" i="1"/>
  <c r="H71" i="1"/>
  <c r="E71" i="1"/>
  <c r="L97" i="1"/>
  <c r="E97" i="1"/>
  <c r="L96" i="1"/>
  <c r="E96" i="1"/>
  <c r="L95" i="1"/>
  <c r="E95" i="1"/>
  <c r="L94" i="1"/>
  <c r="E94" i="1"/>
  <c r="L85" i="1"/>
  <c r="H85" i="1"/>
  <c r="E85" i="1"/>
  <c r="L84" i="1"/>
  <c r="H84" i="1"/>
  <c r="E84" i="1"/>
  <c r="L83" i="1"/>
  <c r="H83" i="1"/>
  <c r="E83" i="1"/>
  <c r="L82" i="1"/>
  <c r="H82" i="1"/>
  <c r="E82" i="1"/>
  <c r="H123" i="1"/>
  <c r="E123" i="1"/>
  <c r="L121" i="1"/>
  <c r="H121" i="1"/>
  <c r="E121" i="1"/>
  <c r="L120" i="1"/>
  <c r="H120" i="1"/>
  <c r="E120" i="1"/>
  <c r="H116" i="1"/>
  <c r="E116" i="1"/>
  <c r="H107" i="1"/>
  <c r="E107" i="1"/>
  <c r="L106" i="1"/>
  <c r="H106" i="1"/>
  <c r="E106" i="1"/>
  <c r="L164" i="1"/>
  <c r="L163" i="1"/>
  <c r="H153" i="1"/>
  <c r="E153" i="1"/>
  <c r="E168" i="1" s="1"/>
  <c r="H144" i="1"/>
  <c r="E144" i="1"/>
  <c r="H143" i="1"/>
  <c r="E143" i="1"/>
  <c r="H142" i="1"/>
  <c r="E142" i="1"/>
  <c r="H132" i="1"/>
  <c r="E132" i="1"/>
  <c r="H178" i="1"/>
  <c r="E178" i="1"/>
  <c r="H177" i="1"/>
  <c r="E177" i="1"/>
  <c r="L176" i="1"/>
  <c r="H176" i="1"/>
  <c r="E176" i="1"/>
  <c r="H35" i="1"/>
  <c r="E35" i="1"/>
  <c r="E34" i="1"/>
  <c r="H33" i="1"/>
  <c r="E33" i="1"/>
  <c r="H11" i="1"/>
  <c r="H22" i="1"/>
  <c r="E13" i="1"/>
  <c r="H13" i="1"/>
  <c r="E24" i="1"/>
  <c r="H45" i="1" l="1"/>
  <c r="H47" i="1" s="1"/>
  <c r="K116" i="1"/>
  <c r="M116" i="1" s="1"/>
  <c r="K71" i="1"/>
  <c r="K35" i="1"/>
  <c r="M35" i="1" s="1"/>
  <c r="K106" i="1"/>
  <c r="E54" i="1"/>
  <c r="E56" i="1" s="1"/>
  <c r="K84" i="1"/>
  <c r="M84" i="1" s="1"/>
  <c r="K94" i="1"/>
  <c r="E74" i="1"/>
  <c r="E76" i="1" s="1"/>
  <c r="E63" i="1"/>
  <c r="E65" i="1" s="1"/>
  <c r="H63" i="1"/>
  <c r="H65" i="1" s="1"/>
  <c r="K44" i="1"/>
  <c r="K143" i="1"/>
  <c r="M143" i="1" s="1"/>
  <c r="K153" i="1"/>
  <c r="K120" i="1"/>
  <c r="M120" i="1" s="1"/>
  <c r="H74" i="1"/>
  <c r="H76" i="1" s="1"/>
  <c r="K123" i="1"/>
  <c r="M123" i="1" s="1"/>
  <c r="K73" i="1"/>
  <c r="M73" i="1" s="1"/>
  <c r="K13" i="1"/>
  <c r="M13" i="1" s="1"/>
  <c r="E98" i="1"/>
  <c r="E100" i="1" s="1"/>
  <c r="K72" i="1"/>
  <c r="M72" i="1" s="1"/>
  <c r="H86" i="1"/>
  <c r="H88" i="1" s="1"/>
  <c r="K62" i="1"/>
  <c r="E86" i="1"/>
  <c r="E88" i="1" s="1"/>
  <c r="K178" i="1"/>
  <c r="M178" i="1" s="1"/>
  <c r="K167" i="1"/>
  <c r="M167" i="1" s="1"/>
  <c r="K97" i="1"/>
  <c r="M97" i="1" s="1"/>
  <c r="H98" i="1"/>
  <c r="H100" i="1" s="1"/>
  <c r="K96" i="1"/>
  <c r="M96" i="1" s="1"/>
  <c r="E124" i="1"/>
  <c r="E126" i="1" s="1"/>
  <c r="K83" i="1"/>
  <c r="M83" i="1" s="1"/>
  <c r="H108" i="1"/>
  <c r="H110" i="1" s="1"/>
  <c r="E108" i="1"/>
  <c r="E110" i="1" s="1"/>
  <c r="K85" i="1"/>
  <c r="M85" i="1" s="1"/>
  <c r="K95" i="1"/>
  <c r="M95" i="1" s="1"/>
  <c r="K82" i="1"/>
  <c r="H124" i="1"/>
  <c r="H126" i="1" s="1"/>
  <c r="K24" i="1"/>
  <c r="M24" i="1" s="1"/>
  <c r="K121" i="1"/>
  <c r="M121" i="1" s="1"/>
  <c r="E170" i="1"/>
  <c r="K107" i="1"/>
  <c r="M107" i="1" s="1"/>
  <c r="E145" i="1"/>
  <c r="E147" i="1" s="1"/>
  <c r="H145" i="1"/>
  <c r="H147" i="1" s="1"/>
  <c r="K34" i="1"/>
  <c r="M34" i="1" s="1"/>
  <c r="K165" i="1"/>
  <c r="M165" i="1" s="1"/>
  <c r="K144" i="1"/>
  <c r="M144" i="1" s="1"/>
  <c r="K163" i="1"/>
  <c r="M163" i="1" s="1"/>
  <c r="H168" i="1"/>
  <c r="H170" i="1" s="1"/>
  <c r="K164" i="1"/>
  <c r="M164" i="1" s="1"/>
  <c r="K142" i="1"/>
  <c r="M142" i="1" s="1"/>
  <c r="E179" i="1"/>
  <c r="E181" i="1" s="1"/>
  <c r="H179" i="1"/>
  <c r="K132" i="1"/>
  <c r="K33" i="1"/>
  <c r="K177" i="1"/>
  <c r="M177" i="1" s="1"/>
  <c r="K176" i="1"/>
  <c r="E36" i="1"/>
  <c r="E38" i="1" s="1"/>
  <c r="K22" i="1"/>
  <c r="H36" i="1"/>
  <c r="H38" i="1" s="1"/>
  <c r="K11" i="1"/>
  <c r="K168" i="1" l="1"/>
  <c r="H181" i="1"/>
  <c r="M124" i="1"/>
  <c r="M126" i="1" s="1"/>
  <c r="K108" i="1"/>
  <c r="K110" i="1" s="1"/>
  <c r="K98" i="1"/>
  <c r="K74" i="1"/>
  <c r="K36" i="1"/>
  <c r="K38" i="1" s="1"/>
  <c r="M94" i="1"/>
  <c r="M98" i="1" s="1"/>
  <c r="M106" i="1"/>
  <c r="M108" i="1" s="1"/>
  <c r="M110" i="1" s="1"/>
  <c r="K124" i="1"/>
  <c r="K126" i="1" s="1"/>
  <c r="M153" i="1"/>
  <c r="M168" i="1" s="1"/>
  <c r="M71" i="1"/>
  <c r="M74" i="1" s="1"/>
  <c r="K45" i="1"/>
  <c r="K47" i="1" s="1"/>
  <c r="M44" i="1"/>
  <c r="M45" i="1" s="1"/>
  <c r="M47" i="1" s="1"/>
  <c r="M62" i="1"/>
  <c r="M63" i="1" s="1"/>
  <c r="M65" i="1" s="1"/>
  <c r="K63" i="1"/>
  <c r="K65" i="1" s="1"/>
  <c r="K86" i="1"/>
  <c r="M82" i="1"/>
  <c r="M86" i="1" s="1"/>
  <c r="K145" i="1"/>
  <c r="M132" i="1"/>
  <c r="M145" i="1" s="1"/>
  <c r="M33" i="1"/>
  <c r="M36" i="1" s="1"/>
  <c r="M38" i="1" s="1"/>
  <c r="M176" i="1"/>
  <c r="M179" i="1" s="1"/>
  <c r="K179" i="1"/>
  <c r="E23" i="1"/>
  <c r="E12" i="1"/>
  <c r="H12" i="1"/>
  <c r="K12" i="1" s="1"/>
  <c r="K147" i="1" l="1"/>
  <c r="K146" i="1"/>
  <c r="M146" i="1" s="1"/>
  <c r="M147" i="1" s="1"/>
  <c r="K169" i="1"/>
  <c r="M169" i="1" s="1"/>
  <c r="M170" i="1" s="1"/>
  <c r="K180" i="1"/>
  <c r="M180" i="1" s="1"/>
  <c r="M181" i="1" s="1"/>
  <c r="K99" i="1"/>
  <c r="M99" i="1" s="1"/>
  <c r="M100" i="1" s="1"/>
  <c r="K87" i="1"/>
  <c r="M87" i="1" s="1"/>
  <c r="M88" i="1" s="1"/>
  <c r="K75" i="1"/>
  <c r="M75" i="1" s="1"/>
  <c r="M76" i="1" s="1"/>
  <c r="E14" i="1"/>
  <c r="E16" i="1" s="1"/>
  <c r="M12" i="1"/>
  <c r="E22" i="1"/>
  <c r="H23" i="1" s="1"/>
  <c r="K23" i="1" s="1"/>
  <c r="K170" i="1" l="1"/>
  <c r="K181" i="1"/>
  <c r="K76" i="1"/>
  <c r="K100" i="1"/>
  <c r="K88" i="1"/>
  <c r="G23" i="1"/>
  <c r="M23" i="1"/>
  <c r="H25" i="1"/>
  <c r="H27" i="1" s="1"/>
  <c r="H14" i="1"/>
  <c r="H16" i="1" s="1"/>
  <c r="E25" i="1"/>
  <c r="E27" i="1" s="1"/>
  <c r="K14" i="1"/>
  <c r="K16" i="1" s="1"/>
  <c r="K25" i="1" l="1"/>
  <c r="K27" i="1" s="1"/>
  <c r="M22" i="1"/>
  <c r="M25" i="1" s="1"/>
  <c r="M27" i="1" s="1"/>
  <c r="M11" i="1"/>
  <c r="M14" i="1" s="1"/>
  <c r="M16" i="1" s="1"/>
  <c r="E45" i="1" l="1"/>
  <c r="E47" i="1" s="1"/>
  <c r="E184" i="1" s="1"/>
  <c r="H54" i="1"/>
  <c r="H56" i="1" s="1"/>
  <c r="E187" i="1" s="1"/>
  <c r="K53" i="1"/>
  <c r="K54" i="1" s="1"/>
  <c r="K56" i="1" s="1"/>
  <c r="E190" i="1" s="1"/>
  <c r="M53" i="1" l="1"/>
  <c r="M54" i="1" s="1"/>
  <c r="E193" i="1" s="1"/>
</calcChain>
</file>

<file path=xl/sharedStrings.xml><?xml version="1.0" encoding="utf-8"?>
<sst xmlns="http://schemas.openxmlformats.org/spreadsheetml/2006/main" count="544" uniqueCount="132">
  <si>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</si>
  <si>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</si>
  <si>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</si>
  <si>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</si>
  <si>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</si>
  <si>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</si>
  <si>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</si>
  <si>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</si>
  <si>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</si>
  <si>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</si>
  <si>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</si>
  <si>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</si>
  <si>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</si>
  <si>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</si>
  <si>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</si>
  <si>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</si>
  <si>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</si>
  <si>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</si>
  <si>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</si>
  <si>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</si>
  <si>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</si>
  <si>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MANDELBAUM THIRD GENERATION LP</t>
  </si>
  <si>
    <t>LSG MATTER #: 787200.12479-00</t>
  </si>
  <si>
    <t>CLAIM #: FQD0829</t>
  </si>
  <si>
    <t>DATE OF LOSS: 7/14/2025</t>
  </si>
  <si>
    <t>CAUSE OF LOSS: LIGHTNING STRIKE</t>
  </si>
  <si>
    <t>AIR TROUP HEATING COOLING PLUMBING ELECTRICAL (800-545-1020) INVOICE # 11555228</t>
  </si>
  <si>
    <t>LABOR HOURS</t>
  </si>
  <si>
    <t>LIBERTY DOOR &amp; AWNING (732-286-3667) INVOICE # 038570</t>
  </si>
  <si>
    <t>LIFTMASTER GARAGE DOOR OPENER</t>
  </si>
  <si>
    <t>LIBERTY DOOR &amp; AWNING (732-286-3667) INVOICE # 038980</t>
  </si>
  <si>
    <t>PLANNED SECURITY SERVICES (888-706-8600) INVOICE # S104526</t>
  </si>
  <si>
    <t>FIRE WATCH PROVIDED ON 7/3 AND 7/4</t>
  </si>
  <si>
    <t>PLANNED SECURITY SERVICES (888-706-8600) INVOICE # S104674</t>
  </si>
  <si>
    <t>FIRE WATCH FOR 7/21 AND 7/26</t>
  </si>
  <si>
    <t>PLANNED SECURITY SERVICES (888-706-8600) INVOICE # S104675</t>
  </si>
  <si>
    <t>FIRE WATCH FOR 7/27 AND 7/28</t>
  </si>
  <si>
    <t>FIFTEEN (15) HOURS OF FIRE WATCH WORK ON 7/27 AND 7/28</t>
  </si>
  <si>
    <t>FERGUSON ENTERPRISES LLC (732-905-1000) ORDER CONFIRMATION # 3356156</t>
  </si>
  <si>
    <t>TWO (2) INDOOR CONTROLLER BOARD</t>
  </si>
  <si>
    <t>TWO (2) PCA BOARDS</t>
  </si>
  <si>
    <t>FREIGHT</t>
  </si>
  <si>
    <t>TWO (2) INDOOR CONTROLLER BOARD FOR A MITSUBISHI CEILING CASSETTE STYLE UNIT.</t>
  </si>
  <si>
    <t>FERGUSON ENTERPRISES LLC (732-905-1000) INVOICE # 3133787</t>
  </si>
  <si>
    <t xml:space="preserve">FREIGHT FOR THE FOUR (4) HVAC PARTS. </t>
  </si>
  <si>
    <t>NCP BLOWER MOTOR</t>
  </si>
  <si>
    <t>1/2 HP INDOOR BLOWER MOTOR</t>
  </si>
  <si>
    <t>COMPRESSOR KIT FOR 2 TON R410A SYSTEM</t>
  </si>
  <si>
    <t>COMPRESSOR KIT FOR 1.5 TON R410A SYSTEM</t>
  </si>
  <si>
    <t>FOUR (4) NATIONAL COMFORT PRODUCTS (NCP) BLOWER MOTORS</t>
  </si>
  <si>
    <t>A 1/2 HORSEPOWER BLOWER MOTOR</t>
  </si>
  <si>
    <t>A 2 TON COMPRESSOR KIT FOR A R410A SYSTEM.</t>
  </si>
  <si>
    <t>A 1.5 TON COMPRESSOR KIT FOR A R410A SYSTEM.</t>
  </si>
  <si>
    <t>FERGUSON ENTERPRISES LLC (732-905-1000) INVOICE # 3248921</t>
  </si>
  <si>
    <t>24VOLT TRANSFORMER</t>
  </si>
  <si>
    <t>1/4 HP CONDENSER MOTOR 1800 RPM</t>
  </si>
  <si>
    <t>CONTROL BOARD FOR A NCP UNIT</t>
  </si>
  <si>
    <t>A 1/4 HORSEPOWER CONDENSER MOTOR WITH 1800 RPM</t>
  </si>
  <si>
    <t>CONTROLLER BOARD FOR NATIONAL COMFORT PRODUCTS UNIT.</t>
  </si>
  <si>
    <t>FERGUSON ENTERPRISES LLC (732-905-1000) INVOICE # 3256283</t>
  </si>
  <si>
    <t>INDOOR CONTROLLER BOARDS</t>
  </si>
  <si>
    <t xml:space="preserve">FREIGHT FOR THE BOARD'S SHIPPING. </t>
  </si>
  <si>
    <t>PEREIRA ELECTRICAL CONTRACTING, INC. (732-549-3790) INVOICE # 8653-S/C2</t>
  </si>
  <si>
    <t>PEREIRA ELECTRICAL CONTRACTING, INC. (732-549-3790) INVOICE # 8653-S/C5</t>
  </si>
  <si>
    <t>PEREIRA ELECTRICAL CONTRACTING, INC. (732-549-3790) INVOICE # 8653-S/C3</t>
  </si>
  <si>
    <t>PEREIRA ELECTRICAL CONTRACTING, INC. (732-549-3790) INVOICE # 8653-S/C6</t>
  </si>
  <si>
    <t>PROVIDED THE LABOR AND MATERIALS TO REPLACE DEVICES  IN BUILDINGS 1, 2 &amp; 6</t>
  </si>
  <si>
    <t>PROVIDED THE LABOR AND MATERIALS TO REPLACE DEVICES  IN BUILDING 4</t>
  </si>
  <si>
    <t>TOTAL COSTS OF MATERIALS:</t>
  </si>
  <si>
    <t>TOTAL COST OF LABOR</t>
  </si>
  <si>
    <t>15% PROFIT AND OVERHEAD</t>
  </si>
  <si>
    <t>LABOR TO INSTALL</t>
  </si>
  <si>
    <t>LIFTMASTER GARAGE DOOR OPENER AND INSTALL</t>
  </si>
  <si>
    <t xml:space="preserve">ONE AND A HALF HOURS TO INSTALL EACH UNIT. </t>
  </si>
  <si>
    <t xml:space="preserve">ONE AND A HALF HOURS TO INSTALL 1 UNIT. </t>
  </si>
  <si>
    <t>NINE (9) REPLACEMENT LIFTMASTER GARAGE DOOR OPENERS. (87504-267) ULTRA-QUIET BELT DRIVE SMART OPENER WITH SECURITY CAMERA AND REMOTE WITH INSTALLATION.</t>
  </si>
  <si>
    <t>ONE (1) REPLACEMENT LIFTMASTER GARAGE DOOR OPENERS. (87504-267) ULTRA-QUIET BELT DRIVE SMART OPENER WITH SECURITY CAMERA AND REMOTE WITH INSTALLATION.</t>
  </si>
  <si>
    <t xml:space="preserve">NINE (9) REPLACEMENT LIFTMASTER GARAGE DOOR OPENERS. (87504-267) ULTRA-QUIET BELT DRIVE SMART OPENER WITH SECURITY CAMERA AND REMOTE. WITH A SLIGHT MARK UP ON MATERIALS. </t>
  </si>
  <si>
    <t xml:space="preserve">ONE (1) REPLACEMENT LIFTMASTER GARAGE DOOR OPENER. (87504-267) ULTRA-QUIET BELT DRIVE SMART OPENER WITH SECURITY CAMERA AND REMOTE. WITH A SLIGHT MARK UP ON MATERIALS. </t>
  </si>
  <si>
    <t>N/A</t>
  </si>
  <si>
    <t>AVERAGE</t>
  </si>
  <si>
    <t>FIRST LABOR HOUR</t>
  </si>
  <si>
    <t>ADDITIONAL 1/2 HOUR AFTER THE FIRST HOUR</t>
  </si>
  <si>
    <t>LABOR FOR THE FIRST CALL OUT AT THE HIGHER RATE</t>
  </si>
  <si>
    <t>2.5 HOURS BROKEN UP IN 1/2 HOUR INCRIMENTS. AT A $108 RATE.</t>
  </si>
  <si>
    <t>TWO (2) PRINTED CIRCUIT ASSEMBLY (PCA) BOARDS.</t>
  </si>
  <si>
    <t xml:space="preserve">A 24 VOLT ELECTRICAL TRANSFORMER. </t>
  </si>
  <si>
    <t>CONTACTOR</t>
  </si>
  <si>
    <t xml:space="preserve">ELECTRICAL CONTACTOR. </t>
  </si>
  <si>
    <t>FIVE (5) INDOOR CONTROLLER BOARD FOR A MITSUBISHI CEILING CASSETTE STYLE UNIT.</t>
  </si>
  <si>
    <t>SK-MONITOR</t>
  </si>
  <si>
    <t>SK-RELAY</t>
  </si>
  <si>
    <t>SK-MONITOR 2</t>
  </si>
  <si>
    <t>SK-PHOTO-W</t>
  </si>
  <si>
    <t>SK-HEAT-W</t>
  </si>
  <si>
    <t>5496 BOOSTER</t>
  </si>
  <si>
    <t>DOOR HOLDERS</t>
  </si>
  <si>
    <t>P2WL</t>
  </si>
  <si>
    <t>589XL BOOSTER</t>
  </si>
  <si>
    <t>LABOR AT $125 / HR</t>
  </si>
  <si>
    <t>LABOR AT $187.50</t>
  </si>
  <si>
    <t>OVERHEAD &amp; PROFIT</t>
  </si>
  <si>
    <t>LABOR HOURS TO TROUBLESHOOT FIVE (5) DAMMAGED HVAC UNITS. (4 UNITS IN BUILDING 3 AND 1 UNIT IN BUILDING 4) THIS COST WAS PRESENTED IN A LUMP SUM AMOUNT. FURTHER DISCRIPTIONS OF HOW THIS COST WAS CALCULATED IS LOCATED IN THE DISCRIPTION SECTION.</t>
  </si>
  <si>
    <t xml:space="preserve">TOTAL OF SIXTEEN (16) HOURS FOR TWO SECURITY GAURDS TO SECURE THE NEIBORHOOD UNTIL POWER WAS RESTORED ON 7/3 AND 7/4. WORK PERFORMED NOT RELATED TO THIS CLAIMED EVENT. </t>
  </si>
  <si>
    <t>THIRTY (30) HOURS OF FIRE WATCH WORK FROM 7/21 TO 7/26</t>
  </si>
  <si>
    <t>SILENT KNIGHT BRAND RELAY MODULE, CONTROL PANEL ACCESSORY.</t>
  </si>
  <si>
    <t xml:space="preserve">SILENT KNIGHT BRAND MONITOR MODULE WITH A SLIGHT MARK UP ON MATERIALS. </t>
  </si>
  <si>
    <t>SILENT KNIGHT BRAND MODULE FOR TWO INITIATING CIRCUITS.</t>
  </si>
  <si>
    <t xml:space="preserve">LABOR HOURS FOR A TOTAL OF SIXTEEN (16) LABOR HOURS SPLIT BETWEEN TWO WORKERS. </t>
  </si>
  <si>
    <t>OVERHEAD AND PROFIT COST</t>
  </si>
  <si>
    <t xml:space="preserve">PROVIDED THE LABOR AND MATERIALS TO REPLACE DEVICES DUE TO STROM IN BUILDINGS 1, 2, &amp; 6. THIS COST WAS PROVIDED WITH NO DETAILS. UPON REQUEST, WE OBTAINED A BREAKDOWN OF COSTS AS FOLLOWS. </t>
  </si>
  <si>
    <t xml:space="preserve">PROVIDED THE LABOR AND MATERIALS TO REPLACE DEVICES DUE TO STROM IN BUILDING 4. THIS COST WAS PROVIDED WITH NO DETAILS. UPON REQUEST, WE OBTAINED A BREAKDOWN OF COSTS AS FOLLOWS. </t>
  </si>
  <si>
    <t>SK-PULL-SA</t>
  </si>
  <si>
    <t>LABOR ON 7/28/25</t>
  </si>
  <si>
    <t>LABOR ON 7/31/25</t>
  </si>
  <si>
    <t>LABOR HOURS FOR A TOTAL OF FIVE (5) LABOR HOURS PERFORMED ON THE FOLLOW UP VISIT ON THE 31ST</t>
  </si>
  <si>
    <t>LABOR HOURS FOR A TOTAL OF FIVE (5) LABOR HOURS PERFORMED ON THE 28TH</t>
  </si>
  <si>
    <t xml:space="preserve">SILENT KNIGHT BRAND HEAT STYLE FIRE DETECTOR </t>
  </si>
  <si>
    <t>SILENT KNIGHT BRAND PHOTOELECTRIC STYLE FIRE DETECTOR</t>
  </si>
  <si>
    <t xml:space="preserve">SILENT KNIGHT BRAND 5496 INTELLIGENT POWER MODULE REPLACEMENT ELECTRICAL BOARD WITHOUT CABINET. </t>
  </si>
  <si>
    <t xml:space="preserve">SILENT KNIGHT BRAND FIRE ALARM PULL STATION WITH ADDED VENDOR MARK UP ON MATERIALS. </t>
  </si>
  <si>
    <t xml:space="preserve">SILENT KNIGHT BRAND 6820 INTELLIGENT ADDRESSABLE FIRE ALARM CONTROL PANEL WITH A SLIGHT MARK UP ON MATERIALS. </t>
  </si>
  <si>
    <t xml:space="preserve">ELECTROMAGNETIC DOOR HOLDERS. </t>
  </si>
  <si>
    <t>PROVIDED THE LABOR AND MATERIALS TO REPLACE DEVICES IN BUILDING 3</t>
  </si>
  <si>
    <t>PROVIDED THE LABOR AND MATERIALS TO REPLACE DEVICES DUE TO STORM DAMAGE IN BUILDING 3</t>
  </si>
  <si>
    <t>LABOR HOURS FOR WORK ON 26TH</t>
  </si>
  <si>
    <t>SYSTEM SENSOR WALL MOUNT HORN / STROBE</t>
  </si>
  <si>
    <t>SILENT KNIGHT 5820XL FIRE ALARM CONTROL PANEL COMBINED WITH A SILENT KNIGHT 5895XL INTELLIGENT BOOSTER POWER SUPPLY</t>
  </si>
  <si>
    <t>LABOR HOURS FOR TWO SITE VISITS ON THE 28TH AND 31ST, TOTALING ELEVEN (11) HOURS AT A RATE OF $125 /HR.</t>
  </si>
  <si>
    <t>LABOR HOURS FOR TWO SITE VISITS ON THE 28TH AND 31ST, TOTALING SIX (6) HOURS AT A RATE OF $187.50 /HR</t>
  </si>
  <si>
    <t>MATERIALS FOR BUILDING 6'S LIGHTING INCLUDE: LIGHTNING WIRE, AND COMMON AREA GFI OUTLET.</t>
  </si>
  <si>
    <t>TOTAL COST OF LABOR FOR TWO MEN FOR 3 HOURS EACH.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</si>
</sst>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66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44" fontId="7" fillId="2" borderId="17" xfId="1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left" wrapText="1"/>
    </xf>
    <xf numFmtId="0" fontId="7" fillId="2" borderId="19" xfId="0" applyFont="1" applyFill="1" applyBorder="1" applyAlignment="1">
      <alignment horizontal="center"/>
    </xf>
    <xf numFmtId="44" fontId="7" fillId="2" borderId="19" xfId="1" applyFont="1" applyFill="1" applyBorder="1" applyAlignment="1">
      <alignment horizontal="center"/>
    </xf>
    <xf numFmtId="0" fontId="7" fillId="2" borderId="19" xfId="1" applyNumberFormat="1" applyFont="1" applyFill="1" applyBorder="1" applyAlignment="1">
      <alignment horizontal="center"/>
    </xf>
    <xf numFmtId="9" fontId="7" fillId="2" borderId="19" xfId="6" applyFont="1" applyFill="1" applyBorder="1" applyAlignment="1">
      <alignment horizontal="center"/>
    </xf>
    <xf numFmtId="0" fontId="7" fillId="2" borderId="19" xfId="1" applyNumberFormat="1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left" wrapText="1"/>
    </xf>
    <xf numFmtId="0" fontId="7" fillId="2" borderId="24" xfId="0" applyFont="1" applyFill="1" applyBorder="1" applyAlignment="1">
      <alignment horizontal="center"/>
    </xf>
    <xf numFmtId="44" fontId="7" fillId="2" borderId="24" xfId="1" applyFont="1" applyFill="1" applyBorder="1" applyAlignment="1">
      <alignment horizontal="center"/>
    </xf>
    <xf numFmtId="0" fontId="7" fillId="2" borderId="24" xfId="1" applyNumberFormat="1" applyFont="1" applyFill="1" applyBorder="1" applyAlignment="1">
      <alignment horizontal="center"/>
    </xf>
    <xf numFmtId="9" fontId="7" fillId="2" borderId="24" xfId="6" applyFont="1" applyFill="1" applyBorder="1" applyAlignment="1">
      <alignment horizontal="center"/>
    </xf>
    <xf numFmtId="0" fontId="7" fillId="2" borderId="24" xfId="1" applyNumberFormat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left" wrapText="1"/>
    </xf>
    <xf numFmtId="0" fontId="7" fillId="2" borderId="28" xfId="0" applyFont="1" applyFill="1" applyBorder="1" applyAlignment="1">
      <alignment horizontal="center"/>
    </xf>
    <xf numFmtId="44" fontId="7" fillId="2" borderId="28" xfId="1" applyFont="1" applyFill="1" applyBorder="1" applyAlignment="1">
      <alignment horizontal="center"/>
    </xf>
    <xf numFmtId="0" fontId="7" fillId="2" borderId="28" xfId="1" applyNumberFormat="1" applyFont="1" applyFill="1" applyBorder="1" applyAlignment="1">
      <alignment horizontal="center"/>
    </xf>
    <xf numFmtId="9" fontId="7" fillId="2" borderId="28" xfId="6" applyFont="1" applyFill="1" applyBorder="1" applyAlignment="1">
      <alignment horizontal="center"/>
    </xf>
    <xf numFmtId="0" fontId="7" fillId="2" borderId="28" xfId="1" applyNumberFormat="1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left" wrapText="1"/>
    </xf>
    <xf numFmtId="0" fontId="7" fillId="2" borderId="3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left" wrapText="1"/>
    </xf>
    <xf numFmtId="0" fontId="7" fillId="2" borderId="32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44" fontId="7" fillId="2" borderId="33" xfId="1" applyFont="1" applyFill="1" applyBorder="1" applyAlignment="1">
      <alignment horizontal="center"/>
    </xf>
    <xf numFmtId="0" fontId="7" fillId="2" borderId="33" xfId="1" applyNumberFormat="1" applyFont="1" applyFill="1" applyBorder="1" applyAlignment="1">
      <alignment horizontal="center"/>
    </xf>
    <xf numFmtId="9" fontId="7" fillId="2" borderId="33" xfId="6" applyFont="1" applyFill="1" applyBorder="1" applyAlignment="1">
      <alignment horizontal="center"/>
    </xf>
    <xf numFmtId="0" fontId="7" fillId="2" borderId="33" xfId="1" applyNumberFormat="1" applyFont="1" applyFill="1" applyBorder="1" applyAlignment="1">
      <alignment horizontal="center" wrapText="1"/>
    </xf>
    <xf numFmtId="0" fontId="7" fillId="2" borderId="34" xfId="0" applyFont="1" applyFill="1" applyBorder="1" applyAlignment="1">
      <alignment horizontal="left" wrapText="1"/>
    </xf>
    <xf numFmtId="0" fontId="7" fillId="2" borderId="28" xfId="0" applyFont="1" applyFill="1" applyBorder="1" applyAlignment="1">
      <alignment horizontal="left" wrapText="1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left" wrapText="1"/>
    </xf>
    <xf numFmtId="0" fontId="7" fillId="2" borderId="33" xfId="0" applyFont="1" applyFill="1" applyBorder="1" applyAlignment="1">
      <alignment horizontal="left" wrapText="1"/>
    </xf>
    <xf numFmtId="44" fontId="6" fillId="4" borderId="13" xfId="1" applyFont="1" applyFill="1" applyBorder="1" applyAlignment="1">
      <alignment horizontal="center" vertical="center"/>
    </xf>
    <xf numFmtId="44" fontId="6" fillId="4" borderId="13" xfId="1" applyFont="1" applyFill="1" applyBorder="1" applyAlignment="1"/>
    <xf numFmtId="44" fontId="7" fillId="4" borderId="15" xfId="1" applyFont="1" applyFill="1" applyBorder="1" applyAlignment="1"/>
    <xf numFmtId="44" fontId="6" fillId="4" borderId="15" xfId="1" applyFont="1" applyFill="1" applyBorder="1" applyAlignment="1"/>
    <xf numFmtId="0" fontId="6" fillId="0" borderId="1" xfId="1" applyNumberFormat="1" applyFont="1" applyFill="1" applyBorder="1" applyAlignment="1"/>
    <xf numFmtId="0" fontId="6" fillId="0" borderId="2" xfId="1" applyNumberFormat="1" applyFont="1" applyFill="1" applyBorder="1" applyAlignment="1"/>
    <xf numFmtId="44" fontId="7" fillId="0" borderId="7" xfId="1" applyFont="1" applyFill="1" applyBorder="1" applyAlignment="1"/>
    <xf numFmtId="44" fontId="7" fillId="0" borderId="9" xfId="1" applyFont="1" applyFill="1" applyBorder="1" applyAlignment="1"/>
    <xf numFmtId="44" fontId="6" fillId="0" borderId="7" xfId="1" applyFont="1" applyFill="1" applyBorder="1" applyAlignment="1"/>
    <xf numFmtId="44" fontId="6" fillId="0" borderId="9" xfId="1" applyFont="1" applyFill="1" applyBorder="1" applyAlignment="1"/>
    <xf numFmtId="0" fontId="7" fillId="4" borderId="35" xfId="0" applyFont="1" applyFill="1" applyBorder="1" applyAlignment="1">
      <alignment horizontal="center"/>
    </xf>
    <xf numFmtId="0" fontId="7" fillId="4" borderId="36" xfId="0" applyFont="1" applyFill="1" applyBorder="1" applyAlignment="1">
      <alignment horizontal="left" wrapText="1"/>
    </xf>
    <xf numFmtId="0" fontId="7" fillId="4" borderId="36" xfId="0" applyFont="1" applyFill="1" applyBorder="1" applyAlignment="1">
      <alignment horizontal="center"/>
    </xf>
    <xf numFmtId="44" fontId="7" fillId="4" borderId="36" xfId="1" applyFont="1" applyFill="1" applyBorder="1" applyAlignment="1">
      <alignment horizontal="center"/>
    </xf>
    <xf numFmtId="0" fontId="7" fillId="4" borderId="36" xfId="1" applyNumberFormat="1" applyFont="1" applyFill="1" applyBorder="1" applyAlignment="1">
      <alignment horizontal="center"/>
    </xf>
    <xf numFmtId="9" fontId="7" fillId="4" borderId="36" xfId="6" applyFont="1" applyFill="1" applyBorder="1" applyAlignment="1">
      <alignment horizontal="center"/>
    </xf>
    <xf numFmtId="0" fontId="7" fillId="4" borderId="36" xfId="1" applyNumberFormat="1" applyFont="1" applyFill="1" applyBorder="1" applyAlignment="1">
      <alignment horizontal="center" wrapText="1"/>
    </xf>
    <xf numFmtId="0" fontId="7" fillId="4" borderId="37" xfId="0" applyFont="1" applyFill="1" applyBorder="1" applyAlignment="1">
      <alignment horizontal="left" wrapText="1"/>
    </xf>
    <xf numFmtId="0" fontId="7" fillId="2" borderId="35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left" wrapText="1"/>
    </xf>
    <xf numFmtId="0" fontId="7" fillId="2" borderId="36" xfId="0" applyFont="1" applyFill="1" applyBorder="1" applyAlignment="1">
      <alignment horizontal="center"/>
    </xf>
    <xf numFmtId="44" fontId="7" fillId="2" borderId="36" xfId="1" applyFont="1" applyFill="1" applyBorder="1" applyAlignment="1">
      <alignment horizontal="center"/>
    </xf>
    <xf numFmtId="0" fontId="7" fillId="2" borderId="36" xfId="1" applyNumberFormat="1" applyFont="1" applyFill="1" applyBorder="1" applyAlignment="1">
      <alignment horizontal="center"/>
    </xf>
    <xf numFmtId="9" fontId="7" fillId="2" borderId="36" xfId="6" applyFont="1" applyFill="1" applyBorder="1" applyAlignment="1">
      <alignment horizontal="center"/>
    </xf>
    <xf numFmtId="0" fontId="7" fillId="2" borderId="36" xfId="1" applyNumberFormat="1" applyFont="1" applyFill="1" applyBorder="1" applyAlignment="1">
      <alignment horizontal="center" wrapText="1"/>
    </xf>
    <xf numFmtId="0" fontId="7" fillId="2" borderId="37" xfId="0" applyFont="1" applyFill="1" applyBorder="1" applyAlignment="1">
      <alignment horizontal="left" wrapText="1"/>
    </xf>
    <xf numFmtId="0" fontId="7" fillId="0" borderId="34" xfId="0" applyFont="1" applyBorder="1" applyAlignment="1">
      <alignment horizontal="left" wrapText="1"/>
    </xf>
    <xf numFmtId="44" fontId="6" fillId="0" borderId="0" xfId="0" applyNumberFormat="1" applyFont="1" applyAlignment="1">
      <alignment horizontal="center"/>
    </xf>
    <xf numFmtId="44" fontId="7" fillId="0" borderId="0" xfId="0" applyNumberFormat="1" applyFont="1"/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9" fontId="7" fillId="2" borderId="17" xfId="6" applyFont="1" applyFill="1" applyBorder="1" applyAlignment="1">
      <alignment horizontal="center"/>
    </xf>
    <xf numFmtId="0" fontId="7" fillId="0" borderId="17" xfId="0" applyFont="1" applyBorder="1" applyAlignment="1">
      <alignment horizontal="left" wrapText="1"/>
    </xf>
    <xf numFmtId="0" fontId="7" fillId="0" borderId="17" xfId="0" applyFont="1" applyBorder="1" applyAlignment="1">
      <alignment horizontal="center"/>
    </xf>
    <xf numFmtId="44" fontId="7" fillId="0" borderId="17" xfId="1" applyFont="1" applyFill="1" applyBorder="1" applyAlignment="1">
      <alignment horizontal="center"/>
    </xf>
    <xf numFmtId="0" fontId="7" fillId="0" borderId="17" xfId="1" applyNumberFormat="1" applyFont="1" applyFill="1" applyBorder="1" applyAlignment="1">
      <alignment horizontal="center"/>
    </xf>
    <xf numFmtId="9" fontId="7" fillId="0" borderId="17" xfId="6" applyFont="1" applyFill="1" applyBorder="1" applyAlignment="1">
      <alignment horizontal="center"/>
    </xf>
    <xf numFmtId="0" fontId="7" fillId="0" borderId="17" xfId="1" applyNumberFormat="1" applyFont="1" applyFill="1" applyBorder="1" applyAlignment="1">
      <alignment horizontal="center" wrapText="1"/>
    </xf>
    <xf numFmtId="0" fontId="7" fillId="0" borderId="22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4"/>
  <sheetViews>
    <sheetView tabSelected="1" topLeftCell="A24" zoomScale="80" zoomScaleNormal="80" zoomScalePageLayoutView="90" workbookViewId="0">
      <selection activeCell="O16" sqref="O16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6" width="8.83203125" style="3"/>
    <col min="17" max="17" width="12.6640625" style="3" bestFit="1" customWidth="1"/>
    <col min="18" max="18" width="11.5" style="3" bestFit="1" customWidth="1"/>
    <col min="19" max="16384" width="8.83203125" style="3"/>
  </cols>
  <sheetData>
    <row r="1" spans="1:18" ht="15.75" customHeight="1" x14ac:dyDescent="0.2">
      <c r="A1" s="149" t="s">
        <v>21</v>
      </c>
      <c r="B1" s="150"/>
      <c r="C1" s="150"/>
      <c r="D1" s="150"/>
      <c r="E1" s="151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152" t="s">
        <v>22</v>
      </c>
      <c r="B2" s="153"/>
      <c r="C2" s="153"/>
      <c r="D2" s="153"/>
      <c r="E2" s="154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152" t="s">
        <v>23</v>
      </c>
      <c r="B3" s="153"/>
      <c r="C3" s="153"/>
      <c r="D3" s="153"/>
      <c r="E3" s="154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152" t="s">
        <v>24</v>
      </c>
      <c r="B4" s="153"/>
      <c r="C4" s="153"/>
      <c r="D4" s="153"/>
      <c r="E4" s="154"/>
      <c r="F4" s="7"/>
      <c r="G4" s="136" t="s">
        <v>0</v>
      </c>
      <c r="H4" s="137"/>
      <c r="I4" s="4"/>
      <c r="J4" s="8"/>
      <c r="K4" s="8"/>
      <c r="L4" s="1"/>
      <c r="O4" s="3"/>
    </row>
    <row r="5" spans="1:18" ht="15.75" customHeight="1" x14ac:dyDescent="0.2">
      <c r="A5" s="155" t="s">
        <v>25</v>
      </c>
      <c r="B5" s="156"/>
      <c r="C5" s="156"/>
      <c r="D5" s="156"/>
      <c r="E5" s="157"/>
      <c r="F5" s="1"/>
      <c r="G5" s="138"/>
      <c r="H5" s="139"/>
      <c r="I5" s="4"/>
      <c r="J5" s="1"/>
      <c r="K5" s="1"/>
      <c r="L5" s="1"/>
      <c r="O5" s="3"/>
    </row>
    <row r="8" spans="1:18" s="10" customFormat="1" ht="25.5" customHeight="1" x14ac:dyDescent="0.15">
      <c r="A8" s="124" t="s">
        <v>26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6"/>
    </row>
    <row r="9" spans="1:18" ht="24" customHeight="1" x14ac:dyDescent="0.2">
      <c r="A9" s="127" t="s">
        <v>1</v>
      </c>
      <c r="B9" s="129" t="s">
        <v>2</v>
      </c>
      <c r="C9" s="131" t="s">
        <v>3</v>
      </c>
      <c r="D9" s="132"/>
      <c r="E9" s="133"/>
      <c r="F9" s="131" t="s">
        <v>4</v>
      </c>
      <c r="G9" s="132"/>
      <c r="H9" s="133"/>
      <c r="I9" s="134" t="s">
        <v>5</v>
      </c>
      <c r="J9" s="134" t="s">
        <v>6</v>
      </c>
      <c r="K9" s="134" t="s">
        <v>7</v>
      </c>
      <c r="L9" s="134" t="s">
        <v>8</v>
      </c>
      <c r="M9" s="134" t="s">
        <v>9</v>
      </c>
      <c r="N9" s="134" t="s">
        <v>10</v>
      </c>
      <c r="O9" s="127" t="s">
        <v>11</v>
      </c>
    </row>
    <row r="10" spans="1:18" s="5" customFormat="1" ht="24" customHeight="1" thickBot="1" x14ac:dyDescent="0.25">
      <c r="A10" s="128"/>
      <c r="B10" s="130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135"/>
      <c r="J10" s="135"/>
      <c r="K10" s="135"/>
      <c r="L10" s="135"/>
      <c r="M10" s="135"/>
      <c r="N10" s="135"/>
      <c r="O10" s="128"/>
    </row>
    <row r="11" spans="1:18" s="5" customFormat="1" ht="118" customHeight="1" x14ac:dyDescent="0.2">
      <c r="A11" s="62">
        <v>1</v>
      </c>
      <c r="B11" s="79" t="s">
        <v>27</v>
      </c>
      <c r="C11" s="64">
        <v>1</v>
      </c>
      <c r="D11" s="65">
        <f>E11/C11</f>
        <v>827</v>
      </c>
      <c r="E11" s="65">
        <v>827</v>
      </c>
      <c r="F11" s="64">
        <v>0</v>
      </c>
      <c r="G11" s="65">
        <v>0</v>
      </c>
      <c r="H11" s="65">
        <f>F11*G11</f>
        <v>0</v>
      </c>
      <c r="I11" s="66" t="s">
        <v>79</v>
      </c>
      <c r="J11" s="66" t="s">
        <v>79</v>
      </c>
      <c r="K11" s="65">
        <f>H11*(1-L11)</f>
        <v>0</v>
      </c>
      <c r="L11" s="67">
        <v>0</v>
      </c>
      <c r="M11" s="65">
        <f>H11-K11</f>
        <v>0</v>
      </c>
      <c r="N11" s="68" t="s">
        <v>79</v>
      </c>
      <c r="O11" s="69" t="s">
        <v>102</v>
      </c>
      <c r="R11" s="38"/>
    </row>
    <row r="12" spans="1:18" s="5" customFormat="1" ht="65" customHeight="1" x14ac:dyDescent="0.2">
      <c r="A12" s="80">
        <v>2</v>
      </c>
      <c r="B12" s="14" t="s">
        <v>81</v>
      </c>
      <c r="C12" s="15">
        <v>0</v>
      </c>
      <c r="D12" s="16">
        <v>0</v>
      </c>
      <c r="E12" s="16">
        <f t="shared" ref="E12:E13" si="0">C12*D12</f>
        <v>0</v>
      </c>
      <c r="F12" s="15">
        <v>1</v>
      </c>
      <c r="G12" s="16">
        <v>287</v>
      </c>
      <c r="H12" s="16">
        <f t="shared" ref="H12" si="1">F12*G12</f>
        <v>287</v>
      </c>
      <c r="I12" s="17" t="s">
        <v>79</v>
      </c>
      <c r="J12" s="17" t="s">
        <v>79</v>
      </c>
      <c r="K12" s="18">
        <f t="shared" ref="K12:K13" si="2">H12*(1-L12)</f>
        <v>287</v>
      </c>
      <c r="L12" s="19">
        <v>0</v>
      </c>
      <c r="M12" s="18">
        <f t="shared" ref="M12:M13" si="3">H12-K12</f>
        <v>0</v>
      </c>
      <c r="N12" s="20" t="s">
        <v>79</v>
      </c>
      <c r="O12" s="81" t="s">
        <v>83</v>
      </c>
    </row>
    <row r="13" spans="1:18" s="5" customFormat="1" ht="65" customHeight="1" thickBot="1" x14ac:dyDescent="0.25">
      <c r="A13" s="72">
        <v>3</v>
      </c>
      <c r="B13" s="82" t="s">
        <v>82</v>
      </c>
      <c r="C13" s="73">
        <v>0</v>
      </c>
      <c r="D13" s="74">
        <v>0</v>
      </c>
      <c r="E13" s="74">
        <f t="shared" si="0"/>
        <v>0</v>
      </c>
      <c r="F13" s="73">
        <v>5</v>
      </c>
      <c r="G13" s="74">
        <v>108</v>
      </c>
      <c r="H13" s="74">
        <f>F13*G13</f>
        <v>540</v>
      </c>
      <c r="I13" s="75" t="s">
        <v>79</v>
      </c>
      <c r="J13" s="75" t="s">
        <v>79</v>
      </c>
      <c r="K13" s="74">
        <f t="shared" si="2"/>
        <v>540</v>
      </c>
      <c r="L13" s="76">
        <v>0</v>
      </c>
      <c r="M13" s="74">
        <f t="shared" si="3"/>
        <v>0</v>
      </c>
      <c r="N13" s="77" t="s">
        <v>79</v>
      </c>
      <c r="O13" s="78" t="s">
        <v>84</v>
      </c>
    </row>
    <row r="14" spans="1:18" s="5" customFormat="1" ht="18" customHeight="1" thickBot="1" x14ac:dyDescent="0.25">
      <c r="A14" s="112" t="s">
        <v>15</v>
      </c>
      <c r="B14" s="113"/>
      <c r="C14" s="113"/>
      <c r="D14" s="114"/>
      <c r="E14" s="24">
        <f>SUM(E11:E13)</f>
        <v>827</v>
      </c>
      <c r="F14" s="25"/>
      <c r="G14" s="26"/>
      <c r="H14" s="27">
        <f>SUM(H11:H13)</f>
        <v>827</v>
      </c>
      <c r="I14" s="115"/>
      <c r="J14" s="116"/>
      <c r="K14" s="28">
        <f>SUM(K11:K13)</f>
        <v>827</v>
      </c>
      <c r="L14" s="28"/>
      <c r="M14" s="28">
        <f>SUM(M11:M13)</f>
        <v>0</v>
      </c>
      <c r="N14"/>
    </row>
    <row r="15" spans="1:18" s="5" customFormat="1" ht="18" customHeight="1" x14ac:dyDescent="0.2">
      <c r="A15" s="117" t="s">
        <v>16</v>
      </c>
      <c r="B15" s="118"/>
      <c r="C15" s="118"/>
      <c r="D15" s="119"/>
      <c r="E15" s="29">
        <v>54.79</v>
      </c>
      <c r="F15" s="30"/>
      <c r="G15" s="31"/>
      <c r="H15" s="29">
        <v>54.79</v>
      </c>
      <c r="I15" s="120"/>
      <c r="J15" s="121"/>
      <c r="K15" s="32">
        <v>54.79</v>
      </c>
      <c r="L15" s="32"/>
      <c r="M15" s="32">
        <v>0</v>
      </c>
      <c r="N15"/>
    </row>
    <row r="16" spans="1:18" s="5" customFormat="1" ht="18" customHeight="1" x14ac:dyDescent="0.2">
      <c r="A16" s="117" t="s">
        <v>14</v>
      </c>
      <c r="B16" s="118"/>
      <c r="C16" s="118"/>
      <c r="D16" s="119"/>
      <c r="E16" s="33">
        <f>SUM(E14:E15)</f>
        <v>881.79</v>
      </c>
      <c r="F16" s="34"/>
      <c r="G16" s="35"/>
      <c r="H16" s="33">
        <f>SUM(H14,H15)</f>
        <v>881.79</v>
      </c>
      <c r="I16" s="122"/>
      <c r="J16" s="123"/>
      <c r="K16" s="36">
        <f>SUM(K14:K15)</f>
        <v>881.79</v>
      </c>
      <c r="L16" s="36"/>
      <c r="M16" s="36">
        <f>SUM(M14:M15)</f>
        <v>0</v>
      </c>
      <c r="N16"/>
    </row>
    <row r="17" spans="1:15" ht="15" customHeight="1" x14ac:dyDescent="0.2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/>
      <c r="O17" s="2"/>
    </row>
    <row r="18" spans="1:15" ht="12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7"/>
    </row>
    <row r="19" spans="1:15" s="10" customFormat="1" ht="25.5" customHeight="1" x14ac:dyDescent="0.15">
      <c r="A19" s="124" t="s">
        <v>28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6"/>
    </row>
    <row r="20" spans="1:15" ht="24" customHeight="1" x14ac:dyDescent="0.2">
      <c r="A20" s="127" t="s">
        <v>1</v>
      </c>
      <c r="B20" s="129" t="s">
        <v>2</v>
      </c>
      <c r="C20" s="131" t="s">
        <v>3</v>
      </c>
      <c r="D20" s="132"/>
      <c r="E20" s="133"/>
      <c r="F20" s="131" t="s">
        <v>4</v>
      </c>
      <c r="G20" s="132"/>
      <c r="H20" s="133"/>
      <c r="I20" s="134" t="s">
        <v>5</v>
      </c>
      <c r="J20" s="134" t="s">
        <v>6</v>
      </c>
      <c r="K20" s="134" t="s">
        <v>7</v>
      </c>
      <c r="L20" s="134" t="s">
        <v>8</v>
      </c>
      <c r="M20" s="134" t="s">
        <v>9</v>
      </c>
      <c r="N20" s="134" t="s">
        <v>10</v>
      </c>
      <c r="O20" s="127" t="s">
        <v>11</v>
      </c>
    </row>
    <row r="21" spans="1:15" ht="24" customHeight="1" thickBot="1" x14ac:dyDescent="0.25">
      <c r="A21" s="128"/>
      <c r="B21" s="130"/>
      <c r="C21" s="12" t="s">
        <v>12</v>
      </c>
      <c r="D21" s="11" t="s">
        <v>13</v>
      </c>
      <c r="E21" s="13" t="s">
        <v>14</v>
      </c>
      <c r="F21" s="13" t="s">
        <v>12</v>
      </c>
      <c r="G21" s="13" t="s">
        <v>13</v>
      </c>
      <c r="H21" s="13" t="s">
        <v>14</v>
      </c>
      <c r="I21" s="135"/>
      <c r="J21" s="135"/>
      <c r="K21" s="135"/>
      <c r="L21" s="135"/>
      <c r="M21" s="135"/>
      <c r="N21" s="135"/>
      <c r="O21" s="128"/>
    </row>
    <row r="22" spans="1:15" ht="97" customHeight="1" x14ac:dyDescent="0.2">
      <c r="A22" s="44">
        <v>1</v>
      </c>
      <c r="B22" s="45" t="s">
        <v>72</v>
      </c>
      <c r="C22" s="46">
        <v>9</v>
      </c>
      <c r="D22" s="47">
        <v>899</v>
      </c>
      <c r="E22" s="47">
        <f t="shared" ref="E22:E23" si="4">C22*D22</f>
        <v>8091</v>
      </c>
      <c r="F22" s="48">
        <v>0</v>
      </c>
      <c r="G22" s="47">
        <v>0</v>
      </c>
      <c r="H22" s="47">
        <f>F22*G22</f>
        <v>0</v>
      </c>
      <c r="I22" s="48" t="s">
        <v>79</v>
      </c>
      <c r="J22" s="48" t="s">
        <v>79</v>
      </c>
      <c r="K22" s="47">
        <f>H22*(1-L22)</f>
        <v>0</v>
      </c>
      <c r="L22" s="49">
        <v>0</v>
      </c>
      <c r="M22" s="47">
        <f>H22-K22</f>
        <v>0</v>
      </c>
      <c r="N22" s="50" t="s">
        <v>79</v>
      </c>
      <c r="O22" s="51" t="s">
        <v>75</v>
      </c>
    </row>
    <row r="23" spans="1:15" ht="94" customHeight="1" x14ac:dyDescent="0.2">
      <c r="A23" s="52">
        <v>2</v>
      </c>
      <c r="B23" s="40" t="s">
        <v>29</v>
      </c>
      <c r="C23" s="39">
        <v>0</v>
      </c>
      <c r="D23" s="41">
        <v>0</v>
      </c>
      <c r="E23" s="41">
        <f t="shared" si="4"/>
        <v>0</v>
      </c>
      <c r="F23" s="42">
        <v>9</v>
      </c>
      <c r="G23" s="41">
        <f>H23/F23</f>
        <v>749</v>
      </c>
      <c r="H23" s="41">
        <f>E22-1350</f>
        <v>6741</v>
      </c>
      <c r="I23" s="42">
        <v>3</v>
      </c>
      <c r="J23" s="42">
        <v>20</v>
      </c>
      <c r="K23" s="41">
        <f>H23*(1-L23)</f>
        <v>5729.8499999999995</v>
      </c>
      <c r="L23" s="19">
        <f>IF((I23/J23)&gt;=0.75,0.75,IF((I23/J23)&gt;=0.1,(I23/J23),IF((I23/J23)&lt;=0.1,0.1)))</f>
        <v>0.15</v>
      </c>
      <c r="M23" s="41">
        <f t="shared" ref="M23:M24" si="5">H23-K23</f>
        <v>1011.1500000000005</v>
      </c>
      <c r="N23" s="43" t="s">
        <v>80</v>
      </c>
      <c r="O23" s="53" t="s">
        <v>77</v>
      </c>
    </row>
    <row r="24" spans="1:15" ht="65" customHeight="1" thickBot="1" x14ac:dyDescent="0.25">
      <c r="A24" s="54">
        <v>3</v>
      </c>
      <c r="B24" s="55" t="s">
        <v>71</v>
      </c>
      <c r="C24" s="56">
        <v>0</v>
      </c>
      <c r="D24" s="57">
        <v>0</v>
      </c>
      <c r="E24" s="57">
        <f t="shared" ref="E24" si="6">C24*D24</f>
        <v>0</v>
      </c>
      <c r="F24" s="58">
        <f>9*1.5</f>
        <v>13.5</v>
      </c>
      <c r="G24" s="57">
        <v>100</v>
      </c>
      <c r="H24" s="57">
        <f t="shared" ref="H24" si="7">F24*G24</f>
        <v>1350</v>
      </c>
      <c r="I24" s="58" t="s">
        <v>79</v>
      </c>
      <c r="J24" s="58" t="s">
        <v>79</v>
      </c>
      <c r="K24" s="57">
        <f t="shared" ref="K24" si="8">H24*(1-L24)</f>
        <v>1350</v>
      </c>
      <c r="L24" s="59">
        <v>0</v>
      </c>
      <c r="M24" s="57">
        <f t="shared" si="5"/>
        <v>0</v>
      </c>
      <c r="N24" s="60" t="s">
        <v>79</v>
      </c>
      <c r="O24" s="61" t="s">
        <v>73</v>
      </c>
    </row>
    <row r="25" spans="1:15" s="5" customFormat="1" ht="18" customHeight="1" thickBot="1" x14ac:dyDescent="0.25">
      <c r="A25" s="112" t="s">
        <v>15</v>
      </c>
      <c r="B25" s="113"/>
      <c r="C25" s="113"/>
      <c r="D25" s="114"/>
      <c r="E25" s="24">
        <f>SUM(E22:E24)</f>
        <v>8091</v>
      </c>
      <c r="F25" s="25"/>
      <c r="G25" s="26"/>
      <c r="H25" s="27">
        <f>SUM(H22:H24)</f>
        <v>8091</v>
      </c>
      <c r="I25" s="115"/>
      <c r="J25" s="116"/>
      <c r="K25" s="28">
        <f>SUM(K22:K24)</f>
        <v>7079.8499999999995</v>
      </c>
      <c r="L25" s="28"/>
      <c r="M25" s="28">
        <f>SUM(M22:M24)</f>
        <v>1011.1500000000005</v>
      </c>
      <c r="N25"/>
    </row>
    <row r="26" spans="1:15" s="5" customFormat="1" ht="18" customHeight="1" x14ac:dyDescent="0.2">
      <c r="A26" s="117" t="s">
        <v>16</v>
      </c>
      <c r="B26" s="118"/>
      <c r="C26" s="118"/>
      <c r="D26" s="119"/>
      <c r="E26" s="29">
        <v>0</v>
      </c>
      <c r="F26" s="30"/>
      <c r="G26" s="31"/>
      <c r="H26" s="29">
        <v>0</v>
      </c>
      <c r="I26" s="120"/>
      <c r="J26" s="121"/>
      <c r="K26" s="32">
        <v>0</v>
      </c>
      <c r="L26" s="32"/>
      <c r="M26" s="32">
        <v>0</v>
      </c>
      <c r="N26"/>
    </row>
    <row r="27" spans="1:15" s="5" customFormat="1" ht="18" customHeight="1" thickBot="1" x14ac:dyDescent="0.25">
      <c r="A27" s="117" t="s">
        <v>14</v>
      </c>
      <c r="B27" s="118"/>
      <c r="C27" s="118"/>
      <c r="D27" s="119"/>
      <c r="E27" s="33">
        <f>SUM(E25:E26)</f>
        <v>8091</v>
      </c>
      <c r="F27" s="34"/>
      <c r="G27" s="35"/>
      <c r="H27" s="33">
        <f>SUM(H25,H26)</f>
        <v>8091</v>
      </c>
      <c r="I27" s="122"/>
      <c r="J27" s="123"/>
      <c r="K27" s="36">
        <f>SUM(K25:K26)</f>
        <v>7079.8499999999995</v>
      </c>
      <c r="L27" s="36"/>
      <c r="M27" s="36">
        <f>SUM(M25:M26)</f>
        <v>1011.1500000000005</v>
      </c>
      <c r="N27"/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/>
      <c r="O28" s="2"/>
    </row>
    <row r="29" spans="1:15" ht="12.75" customHeight="1" thickBo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7"/>
    </row>
    <row r="30" spans="1:15" s="10" customFormat="1" ht="25.5" customHeight="1" thickBot="1" x14ac:dyDescent="0.2">
      <c r="A30" s="124" t="s">
        <v>30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6"/>
    </row>
    <row r="31" spans="1:15" ht="24" customHeight="1" thickBot="1" x14ac:dyDescent="0.25">
      <c r="A31" s="127" t="s">
        <v>1</v>
      </c>
      <c r="B31" s="129" t="s">
        <v>2</v>
      </c>
      <c r="C31" s="131" t="s">
        <v>3</v>
      </c>
      <c r="D31" s="132"/>
      <c r="E31" s="133"/>
      <c r="F31" s="131" t="s">
        <v>4</v>
      </c>
      <c r="G31" s="132"/>
      <c r="H31" s="133"/>
      <c r="I31" s="134" t="s">
        <v>5</v>
      </c>
      <c r="J31" s="134" t="s">
        <v>6</v>
      </c>
      <c r="K31" s="134" t="s">
        <v>7</v>
      </c>
      <c r="L31" s="134" t="s">
        <v>8</v>
      </c>
      <c r="M31" s="134" t="s">
        <v>9</v>
      </c>
      <c r="N31" s="134" t="s">
        <v>10</v>
      </c>
      <c r="O31" s="127" t="s">
        <v>11</v>
      </c>
    </row>
    <row r="32" spans="1:15" ht="24" customHeight="1" thickBot="1" x14ac:dyDescent="0.25">
      <c r="A32" s="128"/>
      <c r="B32" s="130"/>
      <c r="C32" s="12" t="s">
        <v>12</v>
      </c>
      <c r="D32" s="11" t="s">
        <v>13</v>
      </c>
      <c r="E32" s="13" t="s">
        <v>14</v>
      </c>
      <c r="F32" s="13" t="s">
        <v>12</v>
      </c>
      <c r="G32" s="13" t="s">
        <v>13</v>
      </c>
      <c r="H32" s="13" t="s">
        <v>14</v>
      </c>
      <c r="I32" s="135"/>
      <c r="J32" s="135"/>
      <c r="K32" s="135"/>
      <c r="L32" s="135"/>
      <c r="M32" s="135"/>
      <c r="N32" s="135"/>
      <c r="O32" s="128"/>
    </row>
    <row r="33" spans="1:15" ht="100" customHeight="1" x14ac:dyDescent="0.2">
      <c r="A33" s="62">
        <v>1</v>
      </c>
      <c r="B33" s="63" t="s">
        <v>72</v>
      </c>
      <c r="C33" s="64">
        <v>1</v>
      </c>
      <c r="D33" s="65">
        <v>899</v>
      </c>
      <c r="E33" s="65">
        <f t="shared" ref="E33:E35" si="9">C33*D33</f>
        <v>899</v>
      </c>
      <c r="F33" s="66">
        <v>0</v>
      </c>
      <c r="G33" s="65">
        <v>0</v>
      </c>
      <c r="H33" s="65">
        <f>F33*G33</f>
        <v>0</v>
      </c>
      <c r="I33" s="48" t="s">
        <v>79</v>
      </c>
      <c r="J33" s="48" t="s">
        <v>79</v>
      </c>
      <c r="K33" s="65">
        <f>H33*(1-L33)</f>
        <v>0</v>
      </c>
      <c r="L33" s="67">
        <v>0</v>
      </c>
      <c r="M33" s="65">
        <f>H33-K33</f>
        <v>0</v>
      </c>
      <c r="N33" s="50" t="s">
        <v>79</v>
      </c>
      <c r="O33" s="69" t="s">
        <v>76</v>
      </c>
    </row>
    <row r="34" spans="1:15" ht="86" customHeight="1" x14ac:dyDescent="0.2">
      <c r="A34" s="70">
        <v>2</v>
      </c>
      <c r="B34" s="40" t="s">
        <v>29</v>
      </c>
      <c r="C34" s="15">
        <v>0</v>
      </c>
      <c r="D34" s="18">
        <v>0</v>
      </c>
      <c r="E34" s="18">
        <f t="shared" si="9"/>
        <v>0</v>
      </c>
      <c r="F34" s="22">
        <v>1</v>
      </c>
      <c r="G34" s="18">
        <v>749</v>
      </c>
      <c r="H34" s="18">
        <f>F34*G34</f>
        <v>749</v>
      </c>
      <c r="I34" s="42"/>
      <c r="J34" s="42">
        <v>20</v>
      </c>
      <c r="K34" s="18">
        <f t="shared" ref="K34:K35" si="10">H34*(1-L34)</f>
        <v>674.1</v>
      </c>
      <c r="L34" s="19">
        <f>IF((I34/J34)&gt;=0.75,0.75,IF((I34/J34)&gt;=0.1,(I34/J34),IF((I34/J34)&lt;=0.1,0.1)))</f>
        <v>0.1</v>
      </c>
      <c r="M34" s="18">
        <f>H34-K34</f>
        <v>74.899999999999977</v>
      </c>
      <c r="N34" s="43" t="s">
        <v>80</v>
      </c>
      <c r="O34" s="71" t="s">
        <v>78</v>
      </c>
    </row>
    <row r="35" spans="1:15" ht="65" customHeight="1" thickBot="1" x14ac:dyDescent="0.25">
      <c r="A35" s="72">
        <v>3</v>
      </c>
      <c r="B35" s="55" t="s">
        <v>71</v>
      </c>
      <c r="C35" s="73">
        <v>0</v>
      </c>
      <c r="D35" s="74">
        <v>0</v>
      </c>
      <c r="E35" s="74">
        <f t="shared" si="9"/>
        <v>0</v>
      </c>
      <c r="F35" s="75">
        <v>1.5</v>
      </c>
      <c r="G35" s="74">
        <v>100</v>
      </c>
      <c r="H35" s="74">
        <f t="shared" ref="H35" si="11">F35*G35</f>
        <v>150</v>
      </c>
      <c r="I35" s="58" t="s">
        <v>79</v>
      </c>
      <c r="J35" s="58" t="s">
        <v>79</v>
      </c>
      <c r="K35" s="74">
        <f t="shared" si="10"/>
        <v>150</v>
      </c>
      <c r="L35" s="76">
        <v>0</v>
      </c>
      <c r="M35" s="74">
        <f t="shared" ref="M35" si="12">H35-K35</f>
        <v>0</v>
      </c>
      <c r="N35" s="60" t="s">
        <v>79</v>
      </c>
      <c r="O35" s="78" t="s">
        <v>74</v>
      </c>
    </row>
    <row r="36" spans="1:15" s="5" customFormat="1" ht="18" customHeight="1" thickBot="1" x14ac:dyDescent="0.25">
      <c r="A36" s="112" t="s">
        <v>15</v>
      </c>
      <c r="B36" s="113"/>
      <c r="C36" s="113"/>
      <c r="D36" s="114"/>
      <c r="E36" s="24">
        <f>SUM(E33:E35)</f>
        <v>899</v>
      </c>
      <c r="F36" s="25"/>
      <c r="G36" s="26"/>
      <c r="H36" s="27">
        <f>SUM(H33:H35)</f>
        <v>899</v>
      </c>
      <c r="I36" s="115"/>
      <c r="J36" s="116"/>
      <c r="K36" s="28">
        <f>SUM(K33:K35)</f>
        <v>824.1</v>
      </c>
      <c r="L36" s="28"/>
      <c r="M36" s="28">
        <f>SUM(M33:M35)</f>
        <v>74.899999999999977</v>
      </c>
      <c r="N36"/>
    </row>
    <row r="37" spans="1:15" s="5" customFormat="1" ht="18" customHeight="1" thickBot="1" x14ac:dyDescent="0.25">
      <c r="A37" s="117" t="s">
        <v>16</v>
      </c>
      <c r="B37" s="118"/>
      <c r="C37" s="118"/>
      <c r="D37" s="119"/>
      <c r="E37" s="29">
        <v>0</v>
      </c>
      <c r="F37" s="30"/>
      <c r="G37" s="31"/>
      <c r="H37" s="29">
        <v>0</v>
      </c>
      <c r="I37" s="120"/>
      <c r="J37" s="121"/>
      <c r="K37" s="32">
        <v>0</v>
      </c>
      <c r="L37" s="32"/>
      <c r="M37" s="32">
        <v>0</v>
      </c>
      <c r="N37"/>
    </row>
    <row r="38" spans="1:15" s="5" customFormat="1" ht="18" customHeight="1" thickBot="1" x14ac:dyDescent="0.25">
      <c r="A38" s="117" t="s">
        <v>14</v>
      </c>
      <c r="B38" s="118"/>
      <c r="C38" s="118"/>
      <c r="D38" s="119"/>
      <c r="E38" s="33">
        <f>SUM(E36:E37)</f>
        <v>899</v>
      </c>
      <c r="F38" s="34"/>
      <c r="G38" s="35"/>
      <c r="H38" s="33">
        <f>SUM(H36,H37)</f>
        <v>899</v>
      </c>
      <c r="I38" s="122"/>
      <c r="J38" s="123"/>
      <c r="K38" s="36">
        <f>SUM(K36:K37)</f>
        <v>824.1</v>
      </c>
      <c r="L38" s="36"/>
      <c r="M38" s="36">
        <f>SUM(M36:M37)</f>
        <v>74.899999999999977</v>
      </c>
      <c r="N38"/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/>
      <c r="O39" s="2"/>
    </row>
    <row r="40" spans="1:15" ht="12.75" customHeight="1" thickBo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37"/>
    </row>
    <row r="41" spans="1:15" s="10" customFormat="1" ht="25.5" customHeight="1" thickBot="1" x14ac:dyDescent="0.2">
      <c r="A41" s="124" t="s">
        <v>31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6"/>
    </row>
    <row r="42" spans="1:15" ht="24" customHeight="1" thickBot="1" x14ac:dyDescent="0.25">
      <c r="A42" s="127" t="s">
        <v>1</v>
      </c>
      <c r="B42" s="129" t="s">
        <v>2</v>
      </c>
      <c r="C42" s="131" t="s">
        <v>3</v>
      </c>
      <c r="D42" s="132"/>
      <c r="E42" s="133"/>
      <c r="F42" s="131" t="s">
        <v>4</v>
      </c>
      <c r="G42" s="132"/>
      <c r="H42" s="133"/>
      <c r="I42" s="134" t="s">
        <v>5</v>
      </c>
      <c r="J42" s="134" t="s">
        <v>6</v>
      </c>
      <c r="K42" s="134" t="s">
        <v>7</v>
      </c>
      <c r="L42" s="134" t="s">
        <v>8</v>
      </c>
      <c r="M42" s="134" t="s">
        <v>9</v>
      </c>
      <c r="N42" s="134" t="s">
        <v>10</v>
      </c>
      <c r="O42" s="127" t="s">
        <v>11</v>
      </c>
    </row>
    <row r="43" spans="1:15" ht="24" customHeight="1" thickBot="1" x14ac:dyDescent="0.25">
      <c r="A43" s="128"/>
      <c r="B43" s="130"/>
      <c r="C43" s="12" t="s">
        <v>12</v>
      </c>
      <c r="D43" s="11" t="s">
        <v>13</v>
      </c>
      <c r="E43" s="13" t="s">
        <v>14</v>
      </c>
      <c r="F43" s="13" t="s">
        <v>12</v>
      </c>
      <c r="G43" s="13" t="s">
        <v>13</v>
      </c>
      <c r="H43" s="13" t="s">
        <v>14</v>
      </c>
      <c r="I43" s="135"/>
      <c r="J43" s="135"/>
      <c r="K43" s="135"/>
      <c r="L43" s="135"/>
      <c r="M43" s="135"/>
      <c r="N43" s="135"/>
      <c r="O43" s="128"/>
    </row>
    <row r="44" spans="1:15" ht="115" customHeight="1" thickBot="1" x14ac:dyDescent="0.25">
      <c r="A44" s="93">
        <v>1</v>
      </c>
      <c r="B44" s="94" t="s">
        <v>32</v>
      </c>
      <c r="C44" s="95">
        <f>E44/D44</f>
        <v>16</v>
      </c>
      <c r="D44" s="96">
        <v>55</v>
      </c>
      <c r="E44" s="96">
        <v>880</v>
      </c>
      <c r="F44" s="97">
        <v>0</v>
      </c>
      <c r="G44" s="96">
        <v>0</v>
      </c>
      <c r="H44" s="96">
        <f>F44*G44</f>
        <v>0</v>
      </c>
      <c r="I44" s="97" t="s">
        <v>79</v>
      </c>
      <c r="J44" s="97" t="s">
        <v>79</v>
      </c>
      <c r="K44" s="96">
        <f>H44*(1-L44)</f>
        <v>0</v>
      </c>
      <c r="L44" s="98">
        <v>0</v>
      </c>
      <c r="M44" s="96">
        <f>H44-K44</f>
        <v>0</v>
      </c>
      <c r="N44" s="99" t="s">
        <v>79</v>
      </c>
      <c r="O44" s="100" t="s">
        <v>103</v>
      </c>
    </row>
    <row r="45" spans="1:15" s="5" customFormat="1" ht="18" customHeight="1" thickBot="1" x14ac:dyDescent="0.25">
      <c r="A45" s="112" t="s">
        <v>15</v>
      </c>
      <c r="B45" s="113"/>
      <c r="C45" s="113"/>
      <c r="D45" s="114"/>
      <c r="E45" s="83">
        <f>SUM(E44:E44)</f>
        <v>880</v>
      </c>
      <c r="F45" s="87"/>
      <c r="G45" s="88"/>
      <c r="H45" s="84">
        <f>SUM(H44:H44)</f>
        <v>0</v>
      </c>
      <c r="I45" s="115"/>
      <c r="J45" s="116"/>
      <c r="K45" s="28">
        <f>SUM(K44:K44)</f>
        <v>0</v>
      </c>
      <c r="L45" s="28"/>
      <c r="M45" s="28">
        <f>SUM(M44:M44)</f>
        <v>0</v>
      </c>
      <c r="N45"/>
    </row>
    <row r="46" spans="1:15" s="5" customFormat="1" ht="18" customHeight="1" thickBot="1" x14ac:dyDescent="0.25">
      <c r="A46" s="117" t="s">
        <v>16</v>
      </c>
      <c r="B46" s="118"/>
      <c r="C46" s="118"/>
      <c r="D46" s="119"/>
      <c r="E46" s="85">
        <v>58.3</v>
      </c>
      <c r="F46" s="89"/>
      <c r="G46" s="90"/>
      <c r="H46" s="85">
        <v>0</v>
      </c>
      <c r="I46" s="120"/>
      <c r="J46" s="121"/>
      <c r="K46" s="32">
        <v>0</v>
      </c>
      <c r="L46" s="32"/>
      <c r="M46" s="32">
        <v>0</v>
      </c>
      <c r="N46"/>
    </row>
    <row r="47" spans="1:15" s="5" customFormat="1" ht="18" customHeight="1" thickBot="1" x14ac:dyDescent="0.25">
      <c r="A47" s="117" t="s">
        <v>14</v>
      </c>
      <c r="B47" s="118"/>
      <c r="C47" s="118"/>
      <c r="D47" s="119"/>
      <c r="E47" s="86">
        <f>SUM(E45:E46)</f>
        <v>938.3</v>
      </c>
      <c r="F47" s="91"/>
      <c r="G47" s="92"/>
      <c r="H47" s="86">
        <f>SUM(H45,H46)</f>
        <v>0</v>
      </c>
      <c r="I47" s="122"/>
      <c r="J47" s="123"/>
      <c r="K47" s="36">
        <f>SUM(K45:K46)</f>
        <v>0</v>
      </c>
      <c r="L47" s="36"/>
      <c r="M47" s="36">
        <f>SUM(M45:M46)</f>
        <v>0</v>
      </c>
      <c r="N47"/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/>
      <c r="O48" s="2"/>
    </row>
    <row r="49" spans="1:15" ht="12.75" customHeight="1" thickBo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37"/>
    </row>
    <row r="50" spans="1:15" s="10" customFormat="1" ht="25.5" customHeight="1" thickBot="1" x14ac:dyDescent="0.2">
      <c r="A50" s="124" t="s">
        <v>33</v>
      </c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6"/>
    </row>
    <row r="51" spans="1:15" ht="24" customHeight="1" thickBot="1" x14ac:dyDescent="0.25">
      <c r="A51" s="127" t="s">
        <v>1</v>
      </c>
      <c r="B51" s="129" t="s">
        <v>2</v>
      </c>
      <c r="C51" s="131" t="s">
        <v>3</v>
      </c>
      <c r="D51" s="132"/>
      <c r="E51" s="133"/>
      <c r="F51" s="131" t="s">
        <v>4</v>
      </c>
      <c r="G51" s="132"/>
      <c r="H51" s="133"/>
      <c r="I51" s="134" t="s">
        <v>5</v>
      </c>
      <c r="J51" s="134" t="s">
        <v>6</v>
      </c>
      <c r="K51" s="134" t="s">
        <v>7</v>
      </c>
      <c r="L51" s="134" t="s">
        <v>8</v>
      </c>
      <c r="M51" s="134" t="s">
        <v>9</v>
      </c>
      <c r="N51" s="134" t="s">
        <v>10</v>
      </c>
      <c r="O51" s="127" t="s">
        <v>11</v>
      </c>
    </row>
    <row r="52" spans="1:15" ht="24" customHeight="1" thickBot="1" x14ac:dyDescent="0.25">
      <c r="A52" s="128"/>
      <c r="B52" s="130"/>
      <c r="C52" s="12" t="s">
        <v>12</v>
      </c>
      <c r="D52" s="11" t="s">
        <v>13</v>
      </c>
      <c r="E52" s="13" t="s">
        <v>14</v>
      </c>
      <c r="F52" s="13" t="s">
        <v>12</v>
      </c>
      <c r="G52" s="13" t="s">
        <v>13</v>
      </c>
      <c r="H52" s="13" t="s">
        <v>14</v>
      </c>
      <c r="I52" s="135"/>
      <c r="J52" s="135"/>
      <c r="K52" s="135"/>
      <c r="L52" s="135"/>
      <c r="M52" s="135"/>
      <c r="N52" s="135"/>
      <c r="O52" s="128"/>
    </row>
    <row r="53" spans="1:15" ht="65" customHeight="1" thickBot="1" x14ac:dyDescent="0.25">
      <c r="A53" s="101">
        <v>1</v>
      </c>
      <c r="B53" s="102" t="s">
        <v>34</v>
      </c>
      <c r="C53" s="103">
        <v>1</v>
      </c>
      <c r="D53" s="104">
        <v>1650</v>
      </c>
      <c r="E53" s="104">
        <v>1650</v>
      </c>
      <c r="F53" s="103">
        <f>H53/G53</f>
        <v>30</v>
      </c>
      <c r="G53" s="104">
        <v>55</v>
      </c>
      <c r="H53" s="104">
        <v>1650</v>
      </c>
      <c r="I53" s="105" t="s">
        <v>79</v>
      </c>
      <c r="J53" s="105" t="s">
        <v>79</v>
      </c>
      <c r="K53" s="104">
        <f>H53*(1-L53)</f>
        <v>1650</v>
      </c>
      <c r="L53" s="106">
        <v>0</v>
      </c>
      <c r="M53" s="104">
        <f>H53-K53</f>
        <v>0</v>
      </c>
      <c r="N53" s="107" t="s">
        <v>79</v>
      </c>
      <c r="O53" s="108" t="s">
        <v>104</v>
      </c>
    </row>
    <row r="54" spans="1:15" s="5" customFormat="1" ht="18" customHeight="1" thickBot="1" x14ac:dyDescent="0.25">
      <c r="A54" s="112" t="s">
        <v>15</v>
      </c>
      <c r="B54" s="113"/>
      <c r="C54" s="113"/>
      <c r="D54" s="114"/>
      <c r="E54" s="24">
        <f>SUM(E53:E53)</f>
        <v>1650</v>
      </c>
      <c r="F54" s="25"/>
      <c r="G54" s="26"/>
      <c r="H54" s="27">
        <f>SUM(H53:H53)</f>
        <v>1650</v>
      </c>
      <c r="I54" s="115"/>
      <c r="J54" s="116"/>
      <c r="K54" s="28">
        <f>SUM(K53:K53)</f>
        <v>1650</v>
      </c>
      <c r="L54" s="28"/>
      <c r="M54" s="28">
        <f>SUM(M53:M53)</f>
        <v>0</v>
      </c>
      <c r="N54"/>
    </row>
    <row r="55" spans="1:15" s="5" customFormat="1" ht="18" customHeight="1" thickBot="1" x14ac:dyDescent="0.25">
      <c r="A55" s="117" t="s">
        <v>16</v>
      </c>
      <c r="B55" s="118"/>
      <c r="C55" s="118"/>
      <c r="D55" s="119"/>
      <c r="E55" s="29">
        <v>109.31</v>
      </c>
      <c r="F55" s="30"/>
      <c r="G55" s="31"/>
      <c r="H55" s="29">
        <v>109.31</v>
      </c>
      <c r="I55" s="120"/>
      <c r="J55" s="121"/>
      <c r="K55" s="32">
        <v>109.31</v>
      </c>
      <c r="L55" s="32"/>
      <c r="M55" s="32">
        <f>H55-K55</f>
        <v>0</v>
      </c>
      <c r="N55"/>
    </row>
    <row r="56" spans="1:15" s="5" customFormat="1" ht="18" customHeight="1" thickBot="1" x14ac:dyDescent="0.25">
      <c r="A56" s="117" t="s">
        <v>14</v>
      </c>
      <c r="B56" s="118"/>
      <c r="C56" s="118"/>
      <c r="D56" s="119"/>
      <c r="E56" s="33">
        <f>SUM(E54:E55)</f>
        <v>1759.31</v>
      </c>
      <c r="F56" s="34"/>
      <c r="G56" s="35"/>
      <c r="H56" s="33">
        <f>SUM(H54,H55)</f>
        <v>1759.31</v>
      </c>
      <c r="I56" s="122"/>
      <c r="J56" s="123"/>
      <c r="K56" s="36">
        <f>SUM(K54:K55)</f>
        <v>1759.31</v>
      </c>
      <c r="L56" s="36"/>
      <c r="M56" s="36">
        <v>0</v>
      </c>
      <c r="N56"/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/>
      <c r="O57" s="2"/>
    </row>
    <row r="58" spans="1:15" ht="12.75" customHeight="1" thickBo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37"/>
    </row>
    <row r="59" spans="1:15" s="10" customFormat="1" ht="25.5" customHeight="1" thickBot="1" x14ac:dyDescent="0.2">
      <c r="A59" s="124" t="s">
        <v>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6"/>
    </row>
    <row r="60" spans="1:15" ht="24" customHeight="1" thickBot="1" x14ac:dyDescent="0.25">
      <c r="A60" s="127" t="s">
        <v>1</v>
      </c>
      <c r="B60" s="129" t="s">
        <v>2</v>
      </c>
      <c r="C60" s="131" t="s">
        <v>3</v>
      </c>
      <c r="D60" s="132"/>
      <c r="E60" s="133"/>
      <c r="F60" s="131" t="s">
        <v>4</v>
      </c>
      <c r="G60" s="132"/>
      <c r="H60" s="133"/>
      <c r="I60" s="134" t="s">
        <v>5</v>
      </c>
      <c r="J60" s="134" t="s">
        <v>6</v>
      </c>
      <c r="K60" s="134" t="s">
        <v>7</v>
      </c>
      <c r="L60" s="134" t="s">
        <v>8</v>
      </c>
      <c r="M60" s="134" t="s">
        <v>9</v>
      </c>
      <c r="N60" s="134" t="s">
        <v>10</v>
      </c>
      <c r="O60" s="127" t="s">
        <v>11</v>
      </c>
    </row>
    <row r="61" spans="1:15" ht="24" customHeight="1" thickBot="1" x14ac:dyDescent="0.25">
      <c r="A61" s="128"/>
      <c r="B61" s="130"/>
      <c r="C61" s="12" t="s">
        <v>12</v>
      </c>
      <c r="D61" s="11" t="s">
        <v>13</v>
      </c>
      <c r="E61" s="13" t="s">
        <v>14</v>
      </c>
      <c r="F61" s="13" t="s">
        <v>12</v>
      </c>
      <c r="G61" s="13" t="s">
        <v>13</v>
      </c>
      <c r="H61" s="13" t="s">
        <v>14</v>
      </c>
      <c r="I61" s="135"/>
      <c r="J61" s="135"/>
      <c r="K61" s="135"/>
      <c r="L61" s="135"/>
      <c r="M61" s="135"/>
      <c r="N61" s="135"/>
      <c r="O61" s="128"/>
    </row>
    <row r="62" spans="1:15" ht="65" customHeight="1" thickBot="1" x14ac:dyDescent="0.25">
      <c r="A62" s="101">
        <v>1</v>
      </c>
      <c r="B62" s="102" t="s">
        <v>36</v>
      </c>
      <c r="C62" s="103">
        <v>1</v>
      </c>
      <c r="D62" s="104">
        <v>825</v>
      </c>
      <c r="E62" s="104">
        <v>825</v>
      </c>
      <c r="F62" s="103">
        <f>H62/G62</f>
        <v>15</v>
      </c>
      <c r="G62" s="104">
        <v>55</v>
      </c>
      <c r="H62" s="104">
        <v>825</v>
      </c>
      <c r="I62" s="105" t="s">
        <v>79</v>
      </c>
      <c r="J62" s="105" t="s">
        <v>79</v>
      </c>
      <c r="K62" s="104">
        <f>H62*(1-L62)</f>
        <v>825</v>
      </c>
      <c r="L62" s="106">
        <v>0</v>
      </c>
      <c r="M62" s="104">
        <f>H62-K62</f>
        <v>0</v>
      </c>
      <c r="N62" s="107" t="s">
        <v>79</v>
      </c>
      <c r="O62" s="108" t="s">
        <v>37</v>
      </c>
    </row>
    <row r="63" spans="1:15" s="5" customFormat="1" ht="18" customHeight="1" thickBot="1" x14ac:dyDescent="0.25">
      <c r="A63" s="112" t="s">
        <v>15</v>
      </c>
      <c r="B63" s="113"/>
      <c r="C63" s="113"/>
      <c r="D63" s="114"/>
      <c r="E63" s="24">
        <f>SUM(E62:E62)</f>
        <v>825</v>
      </c>
      <c r="F63" s="25"/>
      <c r="G63" s="26"/>
      <c r="H63" s="27">
        <f>SUM(H62:H62)</f>
        <v>825</v>
      </c>
      <c r="I63" s="115"/>
      <c r="J63" s="116"/>
      <c r="K63" s="28">
        <f>SUM(K62:K62)</f>
        <v>825</v>
      </c>
      <c r="L63" s="28"/>
      <c r="M63" s="28">
        <f>SUM(M62:M62)</f>
        <v>0</v>
      </c>
      <c r="N63"/>
    </row>
    <row r="64" spans="1:15" s="5" customFormat="1" ht="18" customHeight="1" thickBot="1" x14ac:dyDescent="0.25">
      <c r="A64" s="117" t="s">
        <v>16</v>
      </c>
      <c r="B64" s="118"/>
      <c r="C64" s="118"/>
      <c r="D64" s="119"/>
      <c r="E64" s="29">
        <v>54.66</v>
      </c>
      <c r="F64" s="30"/>
      <c r="G64" s="31"/>
      <c r="H64" s="29">
        <v>54.66</v>
      </c>
      <c r="I64" s="120"/>
      <c r="J64" s="121"/>
      <c r="K64" s="32">
        <f>0.066254545*K63</f>
        <v>54.659999624999998</v>
      </c>
      <c r="L64" s="32"/>
      <c r="M64" s="32">
        <f>H64-K64</f>
        <v>3.7499999905321602E-7</v>
      </c>
      <c r="N64"/>
    </row>
    <row r="65" spans="1:15" s="5" customFormat="1" ht="18" customHeight="1" thickBot="1" x14ac:dyDescent="0.25">
      <c r="A65" s="117" t="s">
        <v>14</v>
      </c>
      <c r="B65" s="118"/>
      <c r="C65" s="118"/>
      <c r="D65" s="119"/>
      <c r="E65" s="33">
        <f>SUM(E63:E64)</f>
        <v>879.66</v>
      </c>
      <c r="F65" s="34"/>
      <c r="G65" s="35"/>
      <c r="H65" s="33">
        <f>SUM(H63,H64)</f>
        <v>879.66</v>
      </c>
      <c r="I65" s="122"/>
      <c r="J65" s="123"/>
      <c r="K65" s="36">
        <f>SUM(K63:K64)</f>
        <v>879.65999962499995</v>
      </c>
      <c r="L65" s="36"/>
      <c r="M65" s="36">
        <f>SUM(M63:M64)</f>
        <v>3.7499999905321602E-7</v>
      </c>
      <c r="N65"/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/>
      <c r="O66" s="2"/>
    </row>
    <row r="67" spans="1:15" ht="12.75" customHeight="1" thickBo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37"/>
    </row>
    <row r="68" spans="1:15" s="10" customFormat="1" ht="25.5" customHeight="1" thickBot="1" x14ac:dyDescent="0.2">
      <c r="A68" s="124" t="s">
        <v>38</v>
      </c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6"/>
    </row>
    <row r="69" spans="1:15" ht="24" customHeight="1" thickBot="1" x14ac:dyDescent="0.25">
      <c r="A69" s="127" t="s">
        <v>1</v>
      </c>
      <c r="B69" s="129" t="s">
        <v>2</v>
      </c>
      <c r="C69" s="131" t="s">
        <v>3</v>
      </c>
      <c r="D69" s="132"/>
      <c r="E69" s="133"/>
      <c r="F69" s="131" t="s">
        <v>4</v>
      </c>
      <c r="G69" s="132"/>
      <c r="H69" s="133"/>
      <c r="I69" s="134" t="s">
        <v>5</v>
      </c>
      <c r="J69" s="134" t="s">
        <v>6</v>
      </c>
      <c r="K69" s="134" t="s">
        <v>7</v>
      </c>
      <c r="L69" s="134" t="s">
        <v>8</v>
      </c>
      <c r="M69" s="134" t="s">
        <v>9</v>
      </c>
      <c r="N69" s="134" t="s">
        <v>10</v>
      </c>
      <c r="O69" s="127" t="s">
        <v>11</v>
      </c>
    </row>
    <row r="70" spans="1:15" ht="24" customHeight="1" thickBot="1" x14ac:dyDescent="0.25">
      <c r="A70" s="128"/>
      <c r="B70" s="130"/>
      <c r="C70" s="12" t="s">
        <v>12</v>
      </c>
      <c r="D70" s="11" t="s">
        <v>13</v>
      </c>
      <c r="E70" s="13" t="s">
        <v>14</v>
      </c>
      <c r="F70" s="13" t="s">
        <v>12</v>
      </c>
      <c r="G70" s="13" t="s">
        <v>13</v>
      </c>
      <c r="H70" s="13" t="s">
        <v>14</v>
      </c>
      <c r="I70" s="135"/>
      <c r="J70" s="135"/>
      <c r="K70" s="135"/>
      <c r="L70" s="135"/>
      <c r="M70" s="135"/>
      <c r="N70" s="135"/>
      <c r="O70" s="128"/>
    </row>
    <row r="71" spans="1:15" ht="65" customHeight="1" x14ac:dyDescent="0.2">
      <c r="A71" s="62">
        <v>1</v>
      </c>
      <c r="B71" s="79" t="s">
        <v>39</v>
      </c>
      <c r="C71" s="64">
        <v>2</v>
      </c>
      <c r="D71" s="65">
        <v>192.5</v>
      </c>
      <c r="E71" s="65">
        <f t="shared" ref="E71:E73" si="13">C71*D71</f>
        <v>385</v>
      </c>
      <c r="F71" s="64">
        <v>2</v>
      </c>
      <c r="G71" s="65">
        <v>192.5</v>
      </c>
      <c r="H71" s="65">
        <f>F71*G71</f>
        <v>385</v>
      </c>
      <c r="I71" s="66">
        <v>3</v>
      </c>
      <c r="J71" s="66">
        <v>20</v>
      </c>
      <c r="K71" s="65">
        <f>H71*(1-L71)</f>
        <v>327.25</v>
      </c>
      <c r="L71" s="67">
        <f>IF((I71/J71)&gt;=0.75,0.75,IF((I71/J71)&gt;=0,(I71/J71),IF((I71/J71)&lt;=0.1,0)))</f>
        <v>0.15</v>
      </c>
      <c r="M71" s="65">
        <f>H71-K71</f>
        <v>57.75</v>
      </c>
      <c r="N71" s="68" t="s">
        <v>80</v>
      </c>
      <c r="O71" s="69" t="s">
        <v>42</v>
      </c>
    </row>
    <row r="72" spans="1:15" ht="65" customHeight="1" x14ac:dyDescent="0.2">
      <c r="A72" s="70">
        <v>2</v>
      </c>
      <c r="B72" s="21" t="s">
        <v>40</v>
      </c>
      <c r="C72" s="15">
        <v>2</v>
      </c>
      <c r="D72" s="18">
        <v>197.78</v>
      </c>
      <c r="E72" s="18">
        <f t="shared" si="13"/>
        <v>395.56</v>
      </c>
      <c r="F72" s="15">
        <v>2</v>
      </c>
      <c r="G72" s="18">
        <v>197.78</v>
      </c>
      <c r="H72" s="18">
        <f t="shared" ref="H72:H73" si="14">F72*G72</f>
        <v>395.56</v>
      </c>
      <c r="I72" s="22">
        <v>3</v>
      </c>
      <c r="J72" s="22">
        <v>20</v>
      </c>
      <c r="K72" s="18">
        <f t="shared" ref="K72:K73" si="15">H72*(1-L72)</f>
        <v>336.226</v>
      </c>
      <c r="L72" s="19">
        <f t="shared" ref="L72" si="16">IF((I72/J72)&gt;=0.75,0.75,IF((I72/J72)&gt;=0,(I72/J72),IF((I72/J72)&lt;=0.1,0)))</f>
        <v>0.15</v>
      </c>
      <c r="M72" s="18">
        <f t="shared" ref="M72:M73" si="17">H72-K72</f>
        <v>59.334000000000003</v>
      </c>
      <c r="N72" s="23" t="s">
        <v>80</v>
      </c>
      <c r="O72" s="71" t="s">
        <v>85</v>
      </c>
    </row>
    <row r="73" spans="1:15" ht="65" customHeight="1" thickBot="1" x14ac:dyDescent="0.25">
      <c r="A73" s="72">
        <v>3</v>
      </c>
      <c r="B73" s="82" t="s">
        <v>41</v>
      </c>
      <c r="C73" s="73">
        <v>1</v>
      </c>
      <c r="D73" s="74">
        <v>19.989999999999998</v>
      </c>
      <c r="E73" s="74">
        <f t="shared" si="13"/>
        <v>19.989999999999998</v>
      </c>
      <c r="F73" s="73">
        <v>1</v>
      </c>
      <c r="G73" s="74">
        <v>19.989999999999998</v>
      </c>
      <c r="H73" s="74">
        <f t="shared" si="14"/>
        <v>19.989999999999998</v>
      </c>
      <c r="I73" s="75" t="s">
        <v>79</v>
      </c>
      <c r="J73" s="75" t="s">
        <v>79</v>
      </c>
      <c r="K73" s="74">
        <f t="shared" si="15"/>
        <v>19.989999999999998</v>
      </c>
      <c r="L73" s="76">
        <v>0</v>
      </c>
      <c r="M73" s="74">
        <f t="shared" si="17"/>
        <v>0</v>
      </c>
      <c r="N73" s="77" t="s">
        <v>79</v>
      </c>
      <c r="O73" s="78" t="s">
        <v>44</v>
      </c>
    </row>
    <row r="74" spans="1:15" s="5" customFormat="1" ht="18" customHeight="1" thickBot="1" x14ac:dyDescent="0.25">
      <c r="A74" s="112" t="s">
        <v>15</v>
      </c>
      <c r="B74" s="113"/>
      <c r="C74" s="113"/>
      <c r="D74" s="114"/>
      <c r="E74" s="24">
        <f>SUM(E71:E73)</f>
        <v>800.55</v>
      </c>
      <c r="F74" s="25"/>
      <c r="G74" s="26"/>
      <c r="H74" s="27">
        <f>SUM(H71:H73)</f>
        <v>800.55</v>
      </c>
      <c r="I74" s="115"/>
      <c r="J74" s="116"/>
      <c r="K74" s="28">
        <f>SUM(K71:K73)</f>
        <v>683.46600000000001</v>
      </c>
      <c r="L74" s="28"/>
      <c r="M74" s="28">
        <f>SUM(M71:M73)</f>
        <v>117.084</v>
      </c>
      <c r="N74"/>
    </row>
    <row r="75" spans="1:15" s="5" customFormat="1" ht="18" customHeight="1" thickBot="1" x14ac:dyDescent="0.25">
      <c r="A75" s="117" t="s">
        <v>16</v>
      </c>
      <c r="B75" s="118"/>
      <c r="C75" s="118"/>
      <c r="D75" s="119"/>
      <c r="E75" s="29">
        <v>53.04</v>
      </c>
      <c r="F75" s="30"/>
      <c r="G75" s="31"/>
      <c r="H75" s="29">
        <v>53.04</v>
      </c>
      <c r="I75" s="120"/>
      <c r="J75" s="121"/>
      <c r="K75" s="32">
        <f>0.06625445*K74</f>
        <v>45.282663923700007</v>
      </c>
      <c r="L75" s="32"/>
      <c r="M75" s="32">
        <f>H75-K75</f>
        <v>7.7573360762999926</v>
      </c>
      <c r="N75"/>
    </row>
    <row r="76" spans="1:15" s="5" customFormat="1" ht="18" customHeight="1" thickBot="1" x14ac:dyDescent="0.25">
      <c r="A76" s="117" t="s">
        <v>14</v>
      </c>
      <c r="B76" s="118"/>
      <c r="C76" s="118"/>
      <c r="D76" s="119"/>
      <c r="E76" s="33">
        <f>SUM(E74:E75)</f>
        <v>853.58999999999992</v>
      </c>
      <c r="F76" s="34"/>
      <c r="G76" s="35"/>
      <c r="H76" s="33">
        <f>SUM(H74,H75)</f>
        <v>853.58999999999992</v>
      </c>
      <c r="I76" s="122"/>
      <c r="J76" s="123"/>
      <c r="K76" s="36">
        <f>SUM(K74:K75)</f>
        <v>728.74866392370006</v>
      </c>
      <c r="L76" s="36"/>
      <c r="M76" s="36">
        <f>SUM(M74:M75)</f>
        <v>124.8413360763</v>
      </c>
      <c r="N76"/>
    </row>
    <row r="77" spans="1:15" ht="15" customHeight="1" x14ac:dyDescent="0.2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/>
      <c r="O77" s="2"/>
    </row>
    <row r="78" spans="1:15" ht="12.75" customHeight="1" thickBo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37"/>
    </row>
    <row r="79" spans="1:15" s="10" customFormat="1" ht="25.5" customHeight="1" thickBot="1" x14ac:dyDescent="0.2">
      <c r="A79" s="124" t="s">
        <v>43</v>
      </c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6"/>
    </row>
    <row r="80" spans="1:15" ht="24" customHeight="1" thickBot="1" x14ac:dyDescent="0.25">
      <c r="A80" s="127" t="s">
        <v>1</v>
      </c>
      <c r="B80" s="129" t="s">
        <v>2</v>
      </c>
      <c r="C80" s="131" t="s">
        <v>3</v>
      </c>
      <c r="D80" s="132"/>
      <c r="E80" s="133"/>
      <c r="F80" s="131" t="s">
        <v>4</v>
      </c>
      <c r="G80" s="132"/>
      <c r="H80" s="133"/>
      <c r="I80" s="134" t="s">
        <v>5</v>
      </c>
      <c r="J80" s="134" t="s">
        <v>6</v>
      </c>
      <c r="K80" s="134" t="s">
        <v>7</v>
      </c>
      <c r="L80" s="134" t="s">
        <v>8</v>
      </c>
      <c r="M80" s="134" t="s">
        <v>9</v>
      </c>
      <c r="N80" s="134" t="s">
        <v>10</v>
      </c>
      <c r="O80" s="127" t="s">
        <v>11</v>
      </c>
    </row>
    <row r="81" spans="1:15" ht="24" customHeight="1" thickBot="1" x14ac:dyDescent="0.25">
      <c r="A81" s="128"/>
      <c r="B81" s="130"/>
      <c r="C81" s="12" t="s">
        <v>12</v>
      </c>
      <c r="D81" s="11" t="s">
        <v>13</v>
      </c>
      <c r="E81" s="13" t="s">
        <v>14</v>
      </c>
      <c r="F81" s="13" t="s">
        <v>12</v>
      </c>
      <c r="G81" s="13" t="s">
        <v>13</v>
      </c>
      <c r="H81" s="13" t="s">
        <v>14</v>
      </c>
      <c r="I81" s="135"/>
      <c r="J81" s="135"/>
      <c r="K81" s="135"/>
      <c r="L81" s="135"/>
      <c r="M81" s="135"/>
      <c r="N81" s="135"/>
      <c r="O81" s="128"/>
    </row>
    <row r="82" spans="1:15" ht="65" customHeight="1" x14ac:dyDescent="0.2">
      <c r="A82" s="62">
        <v>1</v>
      </c>
      <c r="B82" s="79" t="s">
        <v>45</v>
      </c>
      <c r="C82" s="64">
        <v>4</v>
      </c>
      <c r="D82" s="65">
        <v>292.19</v>
      </c>
      <c r="E82" s="65">
        <f t="shared" ref="E82:E85" si="18">C82*D82</f>
        <v>1168.76</v>
      </c>
      <c r="F82" s="64">
        <v>4</v>
      </c>
      <c r="G82" s="65">
        <v>292.19</v>
      </c>
      <c r="H82" s="65">
        <f>F82*G82</f>
        <v>1168.76</v>
      </c>
      <c r="I82" s="66">
        <v>3</v>
      </c>
      <c r="J82" s="66">
        <v>20</v>
      </c>
      <c r="K82" s="65">
        <f>H82*(1-L82)</f>
        <v>993.44599999999991</v>
      </c>
      <c r="L82" s="67">
        <f>IF((I82/J82)&gt;=0.75,0.75,IF((I82/J82)&gt;=0,(I82/J82),IF((I82/J82)&lt;=0.1,0)))</f>
        <v>0.15</v>
      </c>
      <c r="M82" s="65">
        <f>H82-K82</f>
        <v>175.31400000000008</v>
      </c>
      <c r="N82" s="68" t="s">
        <v>80</v>
      </c>
      <c r="O82" s="69" t="s">
        <v>49</v>
      </c>
    </row>
    <row r="83" spans="1:15" ht="65" customHeight="1" x14ac:dyDescent="0.2">
      <c r="A83" s="70">
        <v>2</v>
      </c>
      <c r="B83" s="21" t="s">
        <v>46</v>
      </c>
      <c r="C83" s="15">
        <v>1</v>
      </c>
      <c r="D83" s="18">
        <v>340.98</v>
      </c>
      <c r="E83" s="18">
        <f t="shared" si="18"/>
        <v>340.98</v>
      </c>
      <c r="F83" s="15">
        <v>1</v>
      </c>
      <c r="G83" s="18">
        <v>340.98</v>
      </c>
      <c r="H83" s="18">
        <f t="shared" ref="H83:H85" si="19">F83*G83</f>
        <v>340.98</v>
      </c>
      <c r="I83" s="22">
        <v>3</v>
      </c>
      <c r="J83" s="22">
        <v>20</v>
      </c>
      <c r="K83" s="18">
        <f t="shared" ref="K83:K85" si="20">H83*(1-L83)</f>
        <v>289.83300000000003</v>
      </c>
      <c r="L83" s="19">
        <f t="shared" ref="L83:L85" si="21">IF((I83/J83)&gt;=0.75,0.75,IF((I83/J83)&gt;=0,(I83/J83),IF((I83/J83)&lt;=0.1,0)))</f>
        <v>0.15</v>
      </c>
      <c r="M83" s="18">
        <f t="shared" ref="M83:M85" si="22">H83-K83</f>
        <v>51.146999999999991</v>
      </c>
      <c r="N83" s="23" t="s">
        <v>80</v>
      </c>
      <c r="O83" s="71" t="s">
        <v>50</v>
      </c>
    </row>
    <row r="84" spans="1:15" ht="65" customHeight="1" x14ac:dyDescent="0.2">
      <c r="A84" s="70">
        <v>3</v>
      </c>
      <c r="B84" s="21" t="s">
        <v>47</v>
      </c>
      <c r="C84" s="15">
        <v>1</v>
      </c>
      <c r="D84" s="18">
        <v>422.34</v>
      </c>
      <c r="E84" s="18">
        <f t="shared" si="18"/>
        <v>422.34</v>
      </c>
      <c r="F84" s="15">
        <v>1</v>
      </c>
      <c r="G84" s="18">
        <v>422.34</v>
      </c>
      <c r="H84" s="18">
        <f t="shared" si="19"/>
        <v>422.34</v>
      </c>
      <c r="I84" s="22">
        <v>3</v>
      </c>
      <c r="J84" s="22">
        <v>20</v>
      </c>
      <c r="K84" s="18">
        <f t="shared" si="20"/>
        <v>358.98899999999998</v>
      </c>
      <c r="L84" s="19">
        <f t="shared" si="21"/>
        <v>0.15</v>
      </c>
      <c r="M84" s="18">
        <f t="shared" si="22"/>
        <v>63.350999999999999</v>
      </c>
      <c r="N84" s="23" t="s">
        <v>80</v>
      </c>
      <c r="O84" s="71" t="s">
        <v>51</v>
      </c>
    </row>
    <row r="85" spans="1:15" ht="65" customHeight="1" thickBot="1" x14ac:dyDescent="0.25">
      <c r="A85" s="72">
        <v>4</v>
      </c>
      <c r="B85" s="82" t="s">
        <v>48</v>
      </c>
      <c r="C85" s="73">
        <v>1</v>
      </c>
      <c r="D85" s="74">
        <v>402.27</v>
      </c>
      <c r="E85" s="74">
        <f t="shared" si="18"/>
        <v>402.27</v>
      </c>
      <c r="F85" s="73">
        <v>1</v>
      </c>
      <c r="G85" s="74">
        <v>402.27</v>
      </c>
      <c r="H85" s="74">
        <f t="shared" si="19"/>
        <v>402.27</v>
      </c>
      <c r="I85" s="75">
        <v>3</v>
      </c>
      <c r="J85" s="75">
        <v>20</v>
      </c>
      <c r="K85" s="74">
        <f t="shared" si="20"/>
        <v>341.92949999999996</v>
      </c>
      <c r="L85" s="76">
        <f t="shared" si="21"/>
        <v>0.15</v>
      </c>
      <c r="M85" s="74">
        <f t="shared" si="22"/>
        <v>60.34050000000002</v>
      </c>
      <c r="N85" s="77" t="s">
        <v>80</v>
      </c>
      <c r="O85" s="78" t="s">
        <v>52</v>
      </c>
    </row>
    <row r="86" spans="1:15" s="5" customFormat="1" ht="18" customHeight="1" thickBot="1" x14ac:dyDescent="0.25">
      <c r="A86" s="112" t="s">
        <v>15</v>
      </c>
      <c r="B86" s="113"/>
      <c r="C86" s="113"/>
      <c r="D86" s="114"/>
      <c r="E86" s="24">
        <f>SUM(E82:E85)</f>
        <v>2334.35</v>
      </c>
      <c r="F86" s="25"/>
      <c r="G86" s="26"/>
      <c r="H86" s="27">
        <f>SUM(H82:H85)</f>
        <v>2334.35</v>
      </c>
      <c r="I86" s="115"/>
      <c r="J86" s="116"/>
      <c r="K86" s="28">
        <f>SUM(K82:K85)</f>
        <v>1984.1975</v>
      </c>
      <c r="L86" s="28"/>
      <c r="M86" s="28">
        <f>SUM(M82:M85)</f>
        <v>350.15250000000009</v>
      </c>
      <c r="N86"/>
    </row>
    <row r="87" spans="1:15" s="5" customFormat="1" ht="18" customHeight="1" thickBot="1" x14ac:dyDescent="0.25">
      <c r="A87" s="117" t="s">
        <v>16</v>
      </c>
      <c r="B87" s="118"/>
      <c r="C87" s="118"/>
      <c r="D87" s="119"/>
      <c r="E87" s="29">
        <v>154.65</v>
      </c>
      <c r="F87" s="30"/>
      <c r="G87" s="31"/>
      <c r="H87" s="29">
        <v>154.65</v>
      </c>
      <c r="I87" s="120"/>
      <c r="J87" s="121"/>
      <c r="K87" s="32">
        <f>0.066249705*K86</f>
        <v>131.45249903673752</v>
      </c>
      <c r="L87" s="32"/>
      <c r="M87" s="32">
        <f>H87-K87</f>
        <v>23.197500963262485</v>
      </c>
      <c r="N87"/>
    </row>
    <row r="88" spans="1:15" s="5" customFormat="1" ht="18" customHeight="1" thickBot="1" x14ac:dyDescent="0.25">
      <c r="A88" s="117" t="s">
        <v>14</v>
      </c>
      <c r="B88" s="118"/>
      <c r="C88" s="118"/>
      <c r="D88" s="119"/>
      <c r="E88" s="33">
        <f>SUM(E86:E87)</f>
        <v>2489</v>
      </c>
      <c r="F88" s="34"/>
      <c r="G88" s="35"/>
      <c r="H88" s="33">
        <f>SUM(H86,H87)</f>
        <v>2489</v>
      </c>
      <c r="I88" s="122"/>
      <c r="J88" s="123"/>
      <c r="K88" s="36">
        <f>SUM(K86:K87)</f>
        <v>2115.6499990367374</v>
      </c>
      <c r="L88" s="36"/>
      <c r="M88" s="36">
        <f>SUM(M86:M87)</f>
        <v>373.35000096326257</v>
      </c>
      <c r="N88"/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/>
      <c r="O89" s="2"/>
    </row>
    <row r="90" spans="1:15" ht="12.75" customHeight="1" thickBo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37"/>
    </row>
    <row r="91" spans="1:15" s="10" customFormat="1" ht="25.5" customHeight="1" thickBot="1" x14ac:dyDescent="0.2">
      <c r="A91" s="124" t="s">
        <v>53</v>
      </c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6"/>
    </row>
    <row r="92" spans="1:15" ht="24" customHeight="1" thickBot="1" x14ac:dyDescent="0.25">
      <c r="A92" s="127" t="s">
        <v>1</v>
      </c>
      <c r="B92" s="129" t="s">
        <v>2</v>
      </c>
      <c r="C92" s="131" t="s">
        <v>3</v>
      </c>
      <c r="D92" s="132"/>
      <c r="E92" s="133"/>
      <c r="F92" s="131" t="s">
        <v>4</v>
      </c>
      <c r="G92" s="132"/>
      <c r="H92" s="133"/>
      <c r="I92" s="134" t="s">
        <v>5</v>
      </c>
      <c r="J92" s="134" t="s">
        <v>6</v>
      </c>
      <c r="K92" s="134" t="s">
        <v>7</v>
      </c>
      <c r="L92" s="134" t="s">
        <v>8</v>
      </c>
      <c r="M92" s="134" t="s">
        <v>9</v>
      </c>
      <c r="N92" s="134" t="s">
        <v>10</v>
      </c>
      <c r="O92" s="127" t="s">
        <v>11</v>
      </c>
    </row>
    <row r="93" spans="1:15" ht="24" customHeight="1" thickBot="1" x14ac:dyDescent="0.25">
      <c r="A93" s="128"/>
      <c r="B93" s="130"/>
      <c r="C93" s="12" t="s">
        <v>12</v>
      </c>
      <c r="D93" s="11" t="s">
        <v>13</v>
      </c>
      <c r="E93" s="13" t="s">
        <v>14</v>
      </c>
      <c r="F93" s="13" t="s">
        <v>12</v>
      </c>
      <c r="G93" s="13" t="s">
        <v>13</v>
      </c>
      <c r="H93" s="13" t="s">
        <v>14</v>
      </c>
      <c r="I93" s="135"/>
      <c r="J93" s="135"/>
      <c r="K93" s="135"/>
      <c r="L93" s="135"/>
      <c r="M93" s="135"/>
      <c r="N93" s="135"/>
      <c r="O93" s="128"/>
    </row>
    <row r="94" spans="1:15" ht="65" customHeight="1" x14ac:dyDescent="0.2">
      <c r="A94" s="62">
        <v>1</v>
      </c>
      <c r="B94" s="79" t="s">
        <v>54</v>
      </c>
      <c r="C94" s="64">
        <v>1</v>
      </c>
      <c r="D94" s="65">
        <v>34.933</v>
      </c>
      <c r="E94" s="65">
        <f t="shared" ref="E94:E97" si="23">C94*D94</f>
        <v>34.933</v>
      </c>
      <c r="F94" s="64">
        <v>1</v>
      </c>
      <c r="G94" s="65">
        <v>34.933</v>
      </c>
      <c r="H94" s="65">
        <f t="shared" ref="H94:H97" si="24">F94*G94</f>
        <v>34.933</v>
      </c>
      <c r="I94" s="66">
        <v>3</v>
      </c>
      <c r="J94" s="66">
        <v>20</v>
      </c>
      <c r="K94" s="65">
        <f>H94*(1-L94)</f>
        <v>29.693049999999999</v>
      </c>
      <c r="L94" s="67">
        <f>IF((I94/J94)&gt;=0.75,0.75,IF((I94/J94)&gt;=0,(I94/J94),IF((I94/J94)&lt;=0.1,0)))</f>
        <v>0.15</v>
      </c>
      <c r="M94" s="65">
        <f>H94-K94</f>
        <v>5.2399500000000003</v>
      </c>
      <c r="N94" s="68" t="s">
        <v>80</v>
      </c>
      <c r="O94" s="69" t="s">
        <v>86</v>
      </c>
    </row>
    <row r="95" spans="1:15" ht="65" customHeight="1" x14ac:dyDescent="0.2">
      <c r="A95" s="70">
        <v>2</v>
      </c>
      <c r="B95" s="21" t="s">
        <v>55</v>
      </c>
      <c r="C95" s="15">
        <v>1</v>
      </c>
      <c r="D95" s="18">
        <v>534.85900000000004</v>
      </c>
      <c r="E95" s="18">
        <f t="shared" si="23"/>
        <v>534.85900000000004</v>
      </c>
      <c r="F95" s="15">
        <v>1</v>
      </c>
      <c r="G95" s="18">
        <v>534.85900000000004</v>
      </c>
      <c r="H95" s="18">
        <f t="shared" si="24"/>
        <v>534.85900000000004</v>
      </c>
      <c r="I95" s="22">
        <v>3</v>
      </c>
      <c r="J95" s="22">
        <v>20</v>
      </c>
      <c r="K95" s="18">
        <f t="shared" ref="K95:K97" si="25">H95*(1-L95)</f>
        <v>454.63015000000001</v>
      </c>
      <c r="L95" s="19">
        <f t="shared" ref="L95:L97" si="26">IF((I95/J95)&gt;=0.75,0.75,IF((I95/J95)&gt;=0,(I95/J95),IF((I95/J95)&lt;=0.1,0)))</f>
        <v>0.15</v>
      </c>
      <c r="M95" s="18">
        <f t="shared" ref="M95:M97" si="27">H95-K95</f>
        <v>80.228850000000023</v>
      </c>
      <c r="N95" s="23" t="s">
        <v>80</v>
      </c>
      <c r="O95" s="71" t="s">
        <v>57</v>
      </c>
    </row>
    <row r="96" spans="1:15" ht="65" customHeight="1" x14ac:dyDescent="0.2">
      <c r="A96" s="70">
        <v>3</v>
      </c>
      <c r="B96" s="21" t="s">
        <v>56</v>
      </c>
      <c r="C96" s="15">
        <v>1</v>
      </c>
      <c r="D96" s="18">
        <v>276.08999999999997</v>
      </c>
      <c r="E96" s="18">
        <f t="shared" si="23"/>
        <v>276.08999999999997</v>
      </c>
      <c r="F96" s="15">
        <v>1</v>
      </c>
      <c r="G96" s="18">
        <v>276.08999999999997</v>
      </c>
      <c r="H96" s="18">
        <f t="shared" si="24"/>
        <v>276.08999999999997</v>
      </c>
      <c r="I96" s="22">
        <v>3</v>
      </c>
      <c r="J96" s="22">
        <v>20</v>
      </c>
      <c r="K96" s="18">
        <f t="shared" si="25"/>
        <v>234.67649999999998</v>
      </c>
      <c r="L96" s="19">
        <f t="shared" si="26"/>
        <v>0.15</v>
      </c>
      <c r="M96" s="18">
        <f t="shared" si="27"/>
        <v>41.413499999999999</v>
      </c>
      <c r="N96" s="23" t="s">
        <v>80</v>
      </c>
      <c r="O96" s="71" t="s">
        <v>58</v>
      </c>
    </row>
    <row r="97" spans="1:15" ht="65" customHeight="1" thickBot="1" x14ac:dyDescent="0.25">
      <c r="A97" s="72">
        <v>4</v>
      </c>
      <c r="B97" s="82" t="s">
        <v>87</v>
      </c>
      <c r="C97" s="73">
        <v>1</v>
      </c>
      <c r="D97" s="74">
        <v>24</v>
      </c>
      <c r="E97" s="74">
        <f t="shared" si="23"/>
        <v>24</v>
      </c>
      <c r="F97" s="73">
        <v>1</v>
      </c>
      <c r="G97" s="74">
        <v>24</v>
      </c>
      <c r="H97" s="74">
        <f t="shared" si="24"/>
        <v>24</v>
      </c>
      <c r="I97" s="75">
        <v>3</v>
      </c>
      <c r="J97" s="75">
        <v>20</v>
      </c>
      <c r="K97" s="74">
        <f t="shared" si="25"/>
        <v>20.399999999999999</v>
      </c>
      <c r="L97" s="76">
        <f t="shared" si="26"/>
        <v>0.15</v>
      </c>
      <c r="M97" s="74">
        <f t="shared" si="27"/>
        <v>3.6000000000000014</v>
      </c>
      <c r="N97" s="77" t="s">
        <v>80</v>
      </c>
      <c r="O97" s="109" t="s">
        <v>88</v>
      </c>
    </row>
    <row r="98" spans="1:15" s="5" customFormat="1" ht="18" customHeight="1" thickBot="1" x14ac:dyDescent="0.25">
      <c r="A98" s="112" t="s">
        <v>15</v>
      </c>
      <c r="B98" s="113"/>
      <c r="C98" s="113"/>
      <c r="D98" s="114"/>
      <c r="E98" s="24">
        <f>SUM(E94:E97)</f>
        <v>869.88200000000006</v>
      </c>
      <c r="F98" s="25"/>
      <c r="G98" s="26"/>
      <c r="H98" s="27">
        <f>SUM(H94:H97)</f>
        <v>869.88200000000006</v>
      </c>
      <c r="I98" s="115"/>
      <c r="J98" s="116"/>
      <c r="K98" s="28">
        <f>SUM(K94:K97)</f>
        <v>739.39970000000005</v>
      </c>
      <c r="L98" s="28"/>
      <c r="M98" s="28">
        <f>SUM(M94:M97)</f>
        <v>130.48230000000001</v>
      </c>
      <c r="N98"/>
    </row>
    <row r="99" spans="1:15" s="5" customFormat="1" ht="18" customHeight="1" thickBot="1" x14ac:dyDescent="0.25">
      <c r="A99" s="117" t="s">
        <v>16</v>
      </c>
      <c r="B99" s="118"/>
      <c r="C99" s="118"/>
      <c r="D99" s="119"/>
      <c r="E99" s="29">
        <v>57.62</v>
      </c>
      <c r="F99" s="30"/>
      <c r="G99" s="31"/>
      <c r="H99" s="29">
        <v>57.62</v>
      </c>
      <c r="I99" s="120"/>
      <c r="J99" s="121"/>
      <c r="K99" s="32">
        <f>0.066238869*K98</f>
        <v>48.976999866939309</v>
      </c>
      <c r="L99" s="32"/>
      <c r="M99" s="32">
        <f>H99-K99</f>
        <v>8.6430001330606885</v>
      </c>
      <c r="N99"/>
    </row>
    <row r="100" spans="1:15" s="5" customFormat="1" ht="18" customHeight="1" thickBot="1" x14ac:dyDescent="0.25">
      <c r="A100" s="117" t="s">
        <v>14</v>
      </c>
      <c r="B100" s="118"/>
      <c r="C100" s="118"/>
      <c r="D100" s="119"/>
      <c r="E100" s="33">
        <f>SUM(E98:E99)</f>
        <v>927.50200000000007</v>
      </c>
      <c r="F100" s="34"/>
      <c r="G100" s="35"/>
      <c r="H100" s="33">
        <f>SUM(H98,H99)</f>
        <v>927.50200000000007</v>
      </c>
      <c r="I100" s="122"/>
      <c r="J100" s="123"/>
      <c r="K100" s="36">
        <f>SUM(K98:K99)</f>
        <v>788.37669986693936</v>
      </c>
      <c r="L100" s="36"/>
      <c r="M100" s="36">
        <f>SUM(M98:M99)</f>
        <v>139.1253001330607</v>
      </c>
      <c r="N100"/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/>
      <c r="O101" s="2"/>
    </row>
    <row r="102" spans="1:15" ht="12.75" customHeight="1" thickBo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37"/>
    </row>
    <row r="103" spans="1:15" s="10" customFormat="1" ht="25.5" customHeight="1" thickBot="1" x14ac:dyDescent="0.2">
      <c r="A103" s="124" t="s">
        <v>59</v>
      </c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6"/>
    </row>
    <row r="104" spans="1:15" ht="24" customHeight="1" thickBot="1" x14ac:dyDescent="0.25">
      <c r="A104" s="127" t="s">
        <v>1</v>
      </c>
      <c r="B104" s="129" t="s">
        <v>2</v>
      </c>
      <c r="C104" s="131" t="s">
        <v>3</v>
      </c>
      <c r="D104" s="132"/>
      <c r="E104" s="133"/>
      <c r="F104" s="131" t="s">
        <v>4</v>
      </c>
      <c r="G104" s="132"/>
      <c r="H104" s="133"/>
      <c r="I104" s="134" t="s">
        <v>5</v>
      </c>
      <c r="J104" s="134" t="s">
        <v>6</v>
      </c>
      <c r="K104" s="134" t="s">
        <v>7</v>
      </c>
      <c r="L104" s="134" t="s">
        <v>8</v>
      </c>
      <c r="M104" s="134" t="s">
        <v>9</v>
      </c>
      <c r="N104" s="134" t="s">
        <v>10</v>
      </c>
      <c r="O104" s="127" t="s">
        <v>11</v>
      </c>
    </row>
    <row r="105" spans="1:15" ht="24" customHeight="1" thickBot="1" x14ac:dyDescent="0.25">
      <c r="A105" s="128"/>
      <c r="B105" s="130"/>
      <c r="C105" s="12" t="s">
        <v>12</v>
      </c>
      <c r="D105" s="11" t="s">
        <v>13</v>
      </c>
      <c r="E105" s="13" t="s">
        <v>14</v>
      </c>
      <c r="F105" s="13" t="s">
        <v>12</v>
      </c>
      <c r="G105" s="13" t="s">
        <v>13</v>
      </c>
      <c r="H105" s="13" t="s">
        <v>14</v>
      </c>
      <c r="I105" s="135"/>
      <c r="J105" s="135"/>
      <c r="K105" s="135"/>
      <c r="L105" s="135"/>
      <c r="M105" s="135"/>
      <c r="N105" s="135"/>
      <c r="O105" s="128"/>
    </row>
    <row r="106" spans="1:15" ht="65" customHeight="1" x14ac:dyDescent="0.2">
      <c r="A106" s="62">
        <v>1</v>
      </c>
      <c r="B106" s="79" t="s">
        <v>60</v>
      </c>
      <c r="C106" s="64">
        <v>5</v>
      </c>
      <c r="D106" s="65">
        <v>257.33999999999997</v>
      </c>
      <c r="E106" s="65">
        <f t="shared" ref="E106:E107" si="28">C106*D106</f>
        <v>1286.6999999999998</v>
      </c>
      <c r="F106" s="64">
        <v>5</v>
      </c>
      <c r="G106" s="65">
        <v>257.33999999999997</v>
      </c>
      <c r="H106" s="65">
        <f>F106*G106</f>
        <v>1286.6999999999998</v>
      </c>
      <c r="I106" s="66">
        <v>3</v>
      </c>
      <c r="J106" s="66">
        <v>20</v>
      </c>
      <c r="K106" s="65">
        <f>H106*(1-L106)</f>
        <v>1093.6949999999997</v>
      </c>
      <c r="L106" s="67">
        <f>IF((I106/J106)&gt;=0.75,0.75,IF((I106/J106)&gt;=0,(I106/J106),IF((I106/J106)&lt;=0.1,0)))</f>
        <v>0.15</v>
      </c>
      <c r="M106" s="65">
        <f>H106-K106</f>
        <v>193.00500000000011</v>
      </c>
      <c r="N106" s="68" t="s">
        <v>80</v>
      </c>
      <c r="O106" s="69" t="s">
        <v>89</v>
      </c>
    </row>
    <row r="107" spans="1:15" ht="65" customHeight="1" thickBot="1" x14ac:dyDescent="0.25">
      <c r="A107" s="72">
        <v>2</v>
      </c>
      <c r="B107" s="82" t="s">
        <v>41</v>
      </c>
      <c r="C107" s="73">
        <v>1</v>
      </c>
      <c r="D107" s="74">
        <v>14.99</v>
      </c>
      <c r="E107" s="74">
        <f t="shared" si="28"/>
        <v>14.99</v>
      </c>
      <c r="F107" s="73">
        <v>1</v>
      </c>
      <c r="G107" s="74">
        <v>14.99</v>
      </c>
      <c r="H107" s="74">
        <f t="shared" ref="H107" si="29">F107*G107</f>
        <v>14.99</v>
      </c>
      <c r="I107" s="75" t="s">
        <v>79</v>
      </c>
      <c r="J107" s="75" t="s">
        <v>79</v>
      </c>
      <c r="K107" s="74">
        <f t="shared" ref="K107" si="30">H107*(1-L107)</f>
        <v>14.99</v>
      </c>
      <c r="L107" s="76">
        <v>0</v>
      </c>
      <c r="M107" s="74">
        <f t="shared" ref="M107" si="31">H107-K107</f>
        <v>0</v>
      </c>
      <c r="N107" s="77" t="s">
        <v>79</v>
      </c>
      <c r="O107" s="78" t="s">
        <v>61</v>
      </c>
    </row>
    <row r="108" spans="1:15" s="5" customFormat="1" ht="18" customHeight="1" thickBot="1" x14ac:dyDescent="0.25">
      <c r="A108" s="112" t="s">
        <v>15</v>
      </c>
      <c r="B108" s="113"/>
      <c r="C108" s="113"/>
      <c r="D108" s="114"/>
      <c r="E108" s="24">
        <f>SUM(E106:E107)</f>
        <v>1301.6899999999998</v>
      </c>
      <c r="F108" s="25"/>
      <c r="G108" s="26"/>
      <c r="H108" s="27">
        <f>SUM(H106:H107)</f>
        <v>1301.6899999999998</v>
      </c>
      <c r="I108" s="115"/>
      <c r="J108" s="116"/>
      <c r="K108" s="28">
        <f>SUM(K106:K107)</f>
        <v>1108.6849999999997</v>
      </c>
      <c r="L108" s="28"/>
      <c r="M108" s="28">
        <f>SUM(M106:M107)</f>
        <v>193.00500000000011</v>
      </c>
      <c r="N108"/>
    </row>
    <row r="109" spans="1:15" s="5" customFormat="1" ht="18" customHeight="1" thickBot="1" x14ac:dyDescent="0.25">
      <c r="A109" s="117" t="s">
        <v>16</v>
      </c>
      <c r="B109" s="118"/>
      <c r="C109" s="118"/>
      <c r="D109" s="119"/>
      <c r="E109" s="29">
        <v>86.23</v>
      </c>
      <c r="F109" s="30"/>
      <c r="G109" s="31"/>
      <c r="H109" s="29">
        <v>86.23</v>
      </c>
      <c r="I109" s="120"/>
      <c r="J109" s="121"/>
      <c r="K109" s="32">
        <f>0.066244651*K108</f>
        <v>73.444450893934984</v>
      </c>
      <c r="L109" s="32"/>
      <c r="M109" s="32">
        <f>H109-K109</f>
        <v>12.785549106065019</v>
      </c>
      <c r="N109"/>
    </row>
    <row r="110" spans="1:15" s="5" customFormat="1" ht="18" customHeight="1" thickBot="1" x14ac:dyDescent="0.25">
      <c r="A110" s="117" t="s">
        <v>14</v>
      </c>
      <c r="B110" s="118"/>
      <c r="C110" s="118"/>
      <c r="D110" s="119"/>
      <c r="E110" s="33">
        <f>SUM(E108:E109)</f>
        <v>1387.9199999999998</v>
      </c>
      <c r="F110" s="34"/>
      <c r="G110" s="35"/>
      <c r="H110" s="33">
        <f>SUM(H108,H109)</f>
        <v>1387.9199999999998</v>
      </c>
      <c r="I110" s="122"/>
      <c r="J110" s="123"/>
      <c r="K110" s="36">
        <f>SUM(K108:K109)</f>
        <v>1182.1294508939347</v>
      </c>
      <c r="L110" s="36"/>
      <c r="M110" s="36">
        <f>SUM(M108:M109)</f>
        <v>205.79054910606513</v>
      </c>
      <c r="N110"/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/>
      <c r="O111" s="2"/>
    </row>
    <row r="112" spans="1:15" ht="12.75" customHeight="1" thickBo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37"/>
    </row>
    <row r="113" spans="1:18" s="10" customFormat="1" ht="25.5" customHeight="1" thickBot="1" x14ac:dyDescent="0.2">
      <c r="A113" s="124" t="s">
        <v>62</v>
      </c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6"/>
    </row>
    <row r="114" spans="1:18" ht="24" customHeight="1" thickBot="1" x14ac:dyDescent="0.25">
      <c r="A114" s="127" t="s">
        <v>1</v>
      </c>
      <c r="B114" s="129" t="s">
        <v>2</v>
      </c>
      <c r="C114" s="131" t="s">
        <v>3</v>
      </c>
      <c r="D114" s="132"/>
      <c r="E114" s="133"/>
      <c r="F114" s="131" t="s">
        <v>4</v>
      </c>
      <c r="G114" s="132"/>
      <c r="H114" s="133"/>
      <c r="I114" s="134" t="s">
        <v>5</v>
      </c>
      <c r="J114" s="134" t="s">
        <v>6</v>
      </c>
      <c r="K114" s="134" t="s">
        <v>7</v>
      </c>
      <c r="L114" s="134" t="s">
        <v>8</v>
      </c>
      <c r="M114" s="134" t="s">
        <v>9</v>
      </c>
      <c r="N114" s="134" t="s">
        <v>10</v>
      </c>
      <c r="O114" s="127" t="s">
        <v>11</v>
      </c>
    </row>
    <row r="115" spans="1:18" ht="24" customHeight="1" thickBot="1" x14ac:dyDescent="0.25">
      <c r="A115" s="128"/>
      <c r="B115" s="130"/>
      <c r="C115" s="12" t="s">
        <v>12</v>
      </c>
      <c r="D115" s="11" t="s">
        <v>13</v>
      </c>
      <c r="E115" s="13" t="s">
        <v>14</v>
      </c>
      <c r="F115" s="13" t="s">
        <v>12</v>
      </c>
      <c r="G115" s="13" t="s">
        <v>13</v>
      </c>
      <c r="H115" s="13" t="s">
        <v>14</v>
      </c>
      <c r="I115" s="135"/>
      <c r="J115" s="135"/>
      <c r="K115" s="135"/>
      <c r="L115" s="135"/>
      <c r="M115" s="135"/>
      <c r="N115" s="135"/>
      <c r="O115" s="128"/>
    </row>
    <row r="116" spans="1:18" ht="133" customHeight="1" x14ac:dyDescent="0.2">
      <c r="A116" s="62">
        <v>1</v>
      </c>
      <c r="B116" s="79" t="s">
        <v>66</v>
      </c>
      <c r="C116" s="64">
        <v>1</v>
      </c>
      <c r="D116" s="65">
        <v>5144.21</v>
      </c>
      <c r="E116" s="65">
        <f t="shared" ref="E116:E123" si="32">C116*D116</f>
        <v>5144.21</v>
      </c>
      <c r="F116" s="66">
        <v>0</v>
      </c>
      <c r="G116" s="65">
        <v>0</v>
      </c>
      <c r="H116" s="65">
        <f>F116*G116</f>
        <v>0</v>
      </c>
      <c r="I116" s="66" t="s">
        <v>79</v>
      </c>
      <c r="J116" s="66" t="s">
        <v>79</v>
      </c>
      <c r="K116" s="65">
        <f>H116*(1-L116)</f>
        <v>0</v>
      </c>
      <c r="L116" s="67">
        <v>0</v>
      </c>
      <c r="M116" s="65">
        <f>H116-K116</f>
        <v>0</v>
      </c>
      <c r="N116" s="68" t="s">
        <v>79</v>
      </c>
      <c r="O116" s="69" t="s">
        <v>110</v>
      </c>
    </row>
    <row r="117" spans="1:18" ht="65" customHeight="1" x14ac:dyDescent="0.2">
      <c r="A117" s="70">
        <v>2</v>
      </c>
      <c r="B117" s="21" t="s">
        <v>90</v>
      </c>
      <c r="C117" s="15">
        <v>0</v>
      </c>
      <c r="D117" s="18">
        <v>0</v>
      </c>
      <c r="E117" s="18">
        <f t="shared" ref="E117:E119" si="33">C117*D117</f>
        <v>0</v>
      </c>
      <c r="F117" s="22">
        <v>2</v>
      </c>
      <c r="G117" s="18">
        <v>110.52</v>
      </c>
      <c r="H117" s="18">
        <f t="shared" ref="H117:H119" si="34">F117*G117</f>
        <v>221.04</v>
      </c>
      <c r="I117" s="22">
        <v>3</v>
      </c>
      <c r="J117" s="22">
        <v>15</v>
      </c>
      <c r="K117" s="18">
        <f t="shared" ref="K117:K119" si="35">H117*(1-L117)</f>
        <v>176.83199999999999</v>
      </c>
      <c r="L117" s="19">
        <f t="shared" ref="L117:L119" si="36">IF((I117/J117)&gt;=0.75,0.75,IF((I117/J117)&gt;=0,(I117/J117),IF((I117/J117)&lt;=0.1,0)))</f>
        <v>0.2</v>
      </c>
      <c r="M117" s="18">
        <f t="shared" ref="M117:M119" si="37">H117-K117</f>
        <v>44.207999999999998</v>
      </c>
      <c r="N117" s="23" t="s">
        <v>80</v>
      </c>
      <c r="O117" s="71" t="s">
        <v>106</v>
      </c>
    </row>
    <row r="118" spans="1:18" ht="65" customHeight="1" x14ac:dyDescent="0.2">
      <c r="A118" s="70">
        <v>3</v>
      </c>
      <c r="B118" s="21" t="s">
        <v>91</v>
      </c>
      <c r="C118" s="15">
        <v>0</v>
      </c>
      <c r="D118" s="18">
        <v>0</v>
      </c>
      <c r="E118" s="18">
        <f t="shared" si="33"/>
        <v>0</v>
      </c>
      <c r="F118" s="22">
        <v>4</v>
      </c>
      <c r="G118" s="18">
        <v>150.96</v>
      </c>
      <c r="H118" s="18">
        <f t="shared" si="34"/>
        <v>603.84</v>
      </c>
      <c r="I118" s="22">
        <v>3</v>
      </c>
      <c r="J118" s="22">
        <v>15</v>
      </c>
      <c r="K118" s="18">
        <f t="shared" si="35"/>
        <v>483.07200000000006</v>
      </c>
      <c r="L118" s="19">
        <f t="shared" si="36"/>
        <v>0.2</v>
      </c>
      <c r="M118" s="18">
        <f t="shared" si="37"/>
        <v>120.76799999999997</v>
      </c>
      <c r="N118" s="23" t="s">
        <v>80</v>
      </c>
      <c r="O118" s="71" t="s">
        <v>105</v>
      </c>
    </row>
    <row r="119" spans="1:18" ht="65" customHeight="1" x14ac:dyDescent="0.2">
      <c r="A119" s="70">
        <v>4</v>
      </c>
      <c r="B119" s="21" t="s">
        <v>92</v>
      </c>
      <c r="C119" s="15">
        <v>0</v>
      </c>
      <c r="D119" s="18">
        <v>0</v>
      </c>
      <c r="E119" s="18">
        <f t="shared" si="33"/>
        <v>0</v>
      </c>
      <c r="F119" s="22">
        <v>2</v>
      </c>
      <c r="G119" s="18">
        <v>198.68</v>
      </c>
      <c r="H119" s="18">
        <f t="shared" si="34"/>
        <v>397.36</v>
      </c>
      <c r="I119" s="22">
        <v>3</v>
      </c>
      <c r="J119" s="22">
        <v>15</v>
      </c>
      <c r="K119" s="18">
        <f t="shared" si="35"/>
        <v>317.88800000000003</v>
      </c>
      <c r="L119" s="19">
        <f t="shared" si="36"/>
        <v>0.2</v>
      </c>
      <c r="M119" s="18">
        <f t="shared" si="37"/>
        <v>79.47199999999998</v>
      </c>
      <c r="N119" s="23" t="s">
        <v>80</v>
      </c>
      <c r="O119" s="71" t="s">
        <v>107</v>
      </c>
    </row>
    <row r="120" spans="1:18" ht="65" customHeight="1" x14ac:dyDescent="0.2">
      <c r="A120" s="70">
        <v>5</v>
      </c>
      <c r="B120" s="21" t="s">
        <v>93</v>
      </c>
      <c r="C120" s="15">
        <v>0</v>
      </c>
      <c r="D120" s="18">
        <v>0</v>
      </c>
      <c r="E120" s="18">
        <f t="shared" si="32"/>
        <v>0</v>
      </c>
      <c r="F120" s="22">
        <v>2</v>
      </c>
      <c r="G120" s="18">
        <v>115.79</v>
      </c>
      <c r="H120" s="18">
        <f t="shared" ref="H120:H123" si="38">F120*G120</f>
        <v>231.58</v>
      </c>
      <c r="I120" s="22">
        <v>3</v>
      </c>
      <c r="J120" s="22">
        <v>15</v>
      </c>
      <c r="K120" s="18">
        <f t="shared" ref="K120:K123" si="39">H120*(1-L120)</f>
        <v>185.26400000000001</v>
      </c>
      <c r="L120" s="19">
        <f t="shared" ref="L120:L121" si="40">IF((I120/J120)&gt;=0.75,0.75,IF((I120/J120)&gt;=0,(I120/J120),IF((I120/J120)&lt;=0.1,0)))</f>
        <v>0.2</v>
      </c>
      <c r="M120" s="18">
        <f t="shared" ref="M120:M123" si="41">H120-K120</f>
        <v>46.316000000000003</v>
      </c>
      <c r="N120" s="23" t="s">
        <v>80</v>
      </c>
      <c r="O120" s="71" t="s">
        <v>118</v>
      </c>
    </row>
    <row r="121" spans="1:18" ht="65" customHeight="1" x14ac:dyDescent="0.2">
      <c r="A121" s="70">
        <v>6</v>
      </c>
      <c r="B121" s="21" t="s">
        <v>94</v>
      </c>
      <c r="C121" s="15">
        <v>0</v>
      </c>
      <c r="D121" s="18">
        <v>0</v>
      </c>
      <c r="E121" s="18">
        <f t="shared" si="32"/>
        <v>0</v>
      </c>
      <c r="F121" s="22">
        <v>1</v>
      </c>
      <c r="G121" s="18">
        <v>118.56</v>
      </c>
      <c r="H121" s="18">
        <f t="shared" si="38"/>
        <v>118.56</v>
      </c>
      <c r="I121" s="22">
        <v>3</v>
      </c>
      <c r="J121" s="22">
        <v>15</v>
      </c>
      <c r="K121" s="18">
        <f t="shared" si="39"/>
        <v>94.848000000000013</v>
      </c>
      <c r="L121" s="19">
        <f t="shared" si="40"/>
        <v>0.2</v>
      </c>
      <c r="M121" s="18">
        <f t="shared" si="41"/>
        <v>23.711999999999989</v>
      </c>
      <c r="N121" s="23" t="s">
        <v>80</v>
      </c>
      <c r="O121" s="71" t="s">
        <v>117</v>
      </c>
      <c r="Q121" s="111"/>
      <c r="R121" s="111"/>
    </row>
    <row r="122" spans="1:18" ht="65" customHeight="1" x14ac:dyDescent="0.2">
      <c r="A122" s="70">
        <v>7</v>
      </c>
      <c r="B122" s="21" t="s">
        <v>125</v>
      </c>
      <c r="C122" s="15">
        <v>0</v>
      </c>
      <c r="D122" s="18">
        <v>0</v>
      </c>
      <c r="E122" s="18">
        <f t="shared" ref="E122" si="42">C122*D122</f>
        <v>0</v>
      </c>
      <c r="F122" s="22">
        <v>16</v>
      </c>
      <c r="G122" s="18">
        <v>187.5</v>
      </c>
      <c r="H122" s="18">
        <f t="shared" ref="H122" si="43">F122*G122</f>
        <v>3000</v>
      </c>
      <c r="I122" s="22" t="s">
        <v>79</v>
      </c>
      <c r="J122" s="22" t="s">
        <v>79</v>
      </c>
      <c r="K122" s="18">
        <f t="shared" ref="K122" si="44">H122*(1-L122)</f>
        <v>3000</v>
      </c>
      <c r="L122" s="19">
        <v>0</v>
      </c>
      <c r="M122" s="18">
        <f t="shared" ref="M122" si="45">H122-K122</f>
        <v>0</v>
      </c>
      <c r="N122" s="23" t="s">
        <v>79</v>
      </c>
      <c r="O122" s="71" t="s">
        <v>108</v>
      </c>
    </row>
    <row r="123" spans="1:18" ht="65" customHeight="1" thickBot="1" x14ac:dyDescent="0.25">
      <c r="A123" s="72">
        <v>8</v>
      </c>
      <c r="B123" s="82" t="s">
        <v>101</v>
      </c>
      <c r="C123" s="73">
        <v>0</v>
      </c>
      <c r="D123" s="74">
        <v>0</v>
      </c>
      <c r="E123" s="74">
        <f t="shared" si="32"/>
        <v>0</v>
      </c>
      <c r="F123" s="75">
        <v>1</v>
      </c>
      <c r="G123" s="74">
        <v>467.66</v>
      </c>
      <c r="H123" s="74">
        <f t="shared" si="38"/>
        <v>467.66</v>
      </c>
      <c r="I123" s="75" t="s">
        <v>79</v>
      </c>
      <c r="J123" s="75" t="s">
        <v>79</v>
      </c>
      <c r="K123" s="74">
        <f t="shared" si="39"/>
        <v>467.66</v>
      </c>
      <c r="L123" s="76">
        <v>0</v>
      </c>
      <c r="M123" s="74">
        <f t="shared" si="41"/>
        <v>0</v>
      </c>
      <c r="N123" s="77" t="s">
        <v>79</v>
      </c>
      <c r="O123" s="78" t="s">
        <v>109</v>
      </c>
    </row>
    <row r="124" spans="1:18" s="5" customFormat="1" ht="18" customHeight="1" thickBot="1" x14ac:dyDescent="0.25">
      <c r="A124" s="112" t="s">
        <v>15</v>
      </c>
      <c r="B124" s="113"/>
      <c r="C124" s="113"/>
      <c r="D124" s="114"/>
      <c r="E124" s="24">
        <f>SUM(E116:E123)</f>
        <v>5144.21</v>
      </c>
      <c r="F124" s="25"/>
      <c r="G124" s="26"/>
      <c r="H124" s="27">
        <f>SUM(H116:H123)</f>
        <v>5040.04</v>
      </c>
      <c r="I124" s="115"/>
      <c r="J124" s="116"/>
      <c r="K124" s="28">
        <f>SUM(K116:K123)</f>
        <v>4725.5640000000003</v>
      </c>
      <c r="L124" s="28"/>
      <c r="M124" s="28">
        <f>SUM(M116:M123)</f>
        <v>314.47599999999994</v>
      </c>
      <c r="N124"/>
    </row>
    <row r="125" spans="1:18" s="5" customFormat="1" ht="18" customHeight="1" thickBot="1" x14ac:dyDescent="0.25">
      <c r="A125" s="117" t="s">
        <v>16</v>
      </c>
      <c r="B125" s="118"/>
      <c r="C125" s="118"/>
      <c r="D125" s="119"/>
      <c r="E125" s="29"/>
      <c r="F125" s="30"/>
      <c r="G125" s="31"/>
      <c r="H125" s="29">
        <v>104.17</v>
      </c>
      <c r="I125" s="120"/>
      <c r="J125" s="121"/>
      <c r="K125" s="32">
        <f>0.020668487*K124</f>
        <v>97.670258101667997</v>
      </c>
      <c r="L125" s="32"/>
      <c r="M125" s="32">
        <f>H125-K125</f>
        <v>6.4997418983320046</v>
      </c>
      <c r="N125"/>
    </row>
    <row r="126" spans="1:18" s="5" customFormat="1" ht="18" customHeight="1" thickBot="1" x14ac:dyDescent="0.25">
      <c r="A126" s="117" t="s">
        <v>14</v>
      </c>
      <c r="B126" s="118"/>
      <c r="C126" s="118"/>
      <c r="D126" s="119"/>
      <c r="E126" s="33">
        <f>SUM(E124:E125)</f>
        <v>5144.21</v>
      </c>
      <c r="F126" s="34"/>
      <c r="G126" s="35"/>
      <c r="H126" s="33">
        <f>SUM(H124,H125)</f>
        <v>5144.21</v>
      </c>
      <c r="I126" s="122"/>
      <c r="J126" s="123"/>
      <c r="K126" s="36">
        <f>SUM(K124:K125)</f>
        <v>4823.2342581016683</v>
      </c>
      <c r="L126" s="36"/>
      <c r="M126" s="36">
        <f>SUM(M124:M125)</f>
        <v>320.97574189833193</v>
      </c>
      <c r="N126"/>
    </row>
    <row r="127" spans="1:18" ht="15" customHeight="1" x14ac:dyDescent="0.2">
      <c r="A127" s="2"/>
      <c r="B127" s="2"/>
      <c r="C127" s="1"/>
      <c r="D127" s="1"/>
      <c r="E127" s="1"/>
      <c r="F127" s="1"/>
      <c r="G127" s="110"/>
      <c r="H127" s="1"/>
      <c r="I127" s="1"/>
      <c r="J127" s="1"/>
      <c r="K127" s="1"/>
      <c r="L127" s="1"/>
      <c r="M127" s="1"/>
      <c r="N127"/>
      <c r="O127" s="2"/>
    </row>
    <row r="128" spans="1:18" ht="12.75" customHeight="1" thickBo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37"/>
    </row>
    <row r="129" spans="1:17" s="10" customFormat="1" ht="25.5" customHeight="1" thickBot="1" x14ac:dyDescent="0.2">
      <c r="A129" s="124" t="s">
        <v>63</v>
      </c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6"/>
    </row>
    <row r="130" spans="1:17" ht="24" customHeight="1" thickBot="1" x14ac:dyDescent="0.25">
      <c r="A130" s="127" t="s">
        <v>1</v>
      </c>
      <c r="B130" s="129" t="s">
        <v>2</v>
      </c>
      <c r="C130" s="131" t="s">
        <v>3</v>
      </c>
      <c r="D130" s="132"/>
      <c r="E130" s="133"/>
      <c r="F130" s="131" t="s">
        <v>4</v>
      </c>
      <c r="G130" s="132"/>
      <c r="H130" s="133"/>
      <c r="I130" s="134" t="s">
        <v>5</v>
      </c>
      <c r="J130" s="134" t="s">
        <v>6</v>
      </c>
      <c r="K130" s="134" t="s">
        <v>7</v>
      </c>
      <c r="L130" s="134" t="s">
        <v>8</v>
      </c>
      <c r="M130" s="134" t="s">
        <v>9</v>
      </c>
      <c r="N130" s="134" t="s">
        <v>10</v>
      </c>
      <c r="O130" s="127" t="s">
        <v>11</v>
      </c>
    </row>
    <row r="131" spans="1:17" ht="24" customHeight="1" thickBot="1" x14ac:dyDescent="0.25">
      <c r="A131" s="128"/>
      <c r="B131" s="130"/>
      <c r="C131" s="12" t="s">
        <v>12</v>
      </c>
      <c r="D131" s="11" t="s">
        <v>13</v>
      </c>
      <c r="E131" s="13" t="s">
        <v>14</v>
      </c>
      <c r="F131" s="13" t="s">
        <v>12</v>
      </c>
      <c r="G131" s="13" t="s">
        <v>13</v>
      </c>
      <c r="H131" s="13" t="s">
        <v>14</v>
      </c>
      <c r="I131" s="135"/>
      <c r="J131" s="135"/>
      <c r="K131" s="135"/>
      <c r="L131" s="135"/>
      <c r="M131" s="135"/>
      <c r="N131" s="135"/>
      <c r="O131" s="128"/>
    </row>
    <row r="132" spans="1:17" ht="113" customHeight="1" x14ac:dyDescent="0.2">
      <c r="A132" s="44">
        <v>1</v>
      </c>
      <c r="B132" s="45" t="s">
        <v>67</v>
      </c>
      <c r="C132" s="46">
        <v>1</v>
      </c>
      <c r="D132" s="47">
        <v>7259.99</v>
      </c>
      <c r="E132" s="47">
        <f t="shared" ref="E132:E144" si="46">C132*D132</f>
        <v>7259.99</v>
      </c>
      <c r="F132" s="48">
        <v>0</v>
      </c>
      <c r="G132" s="47">
        <v>0</v>
      </c>
      <c r="H132" s="47">
        <f>F132*G132</f>
        <v>0</v>
      </c>
      <c r="I132" s="48" t="s">
        <v>79</v>
      </c>
      <c r="J132" s="48" t="s">
        <v>79</v>
      </c>
      <c r="K132" s="47">
        <f>H132*(1-L132)</f>
        <v>0</v>
      </c>
      <c r="L132" s="49">
        <v>0</v>
      </c>
      <c r="M132" s="47">
        <f>H132-K132</f>
        <v>0</v>
      </c>
      <c r="N132" s="50" t="s">
        <v>79</v>
      </c>
      <c r="O132" s="51" t="s">
        <v>111</v>
      </c>
    </row>
    <row r="133" spans="1:17" ht="65" customHeight="1" x14ac:dyDescent="0.2">
      <c r="A133" s="52">
        <v>2</v>
      </c>
      <c r="B133" s="40" t="s">
        <v>90</v>
      </c>
      <c r="C133" s="39">
        <v>0</v>
      </c>
      <c r="D133" s="41">
        <v>0</v>
      </c>
      <c r="E133" s="41">
        <f t="shared" si="46"/>
        <v>0</v>
      </c>
      <c r="F133" s="42">
        <v>2</v>
      </c>
      <c r="G133" s="41">
        <v>110.52</v>
      </c>
      <c r="H133" s="41">
        <f t="shared" ref="H133:H136" si="47">F133*G133</f>
        <v>221.04</v>
      </c>
      <c r="I133" s="42">
        <v>3</v>
      </c>
      <c r="J133" s="42">
        <v>15</v>
      </c>
      <c r="K133" s="41">
        <f t="shared" ref="K133:K136" si="48">H133*(1-L133)</f>
        <v>176.83199999999999</v>
      </c>
      <c r="L133" s="158">
        <f t="shared" ref="L133:L136" si="49">IF((I133/J133)&gt;=0.75,0.75,IF((I133/J133)&gt;=0,(I133/J133),IF((I133/J133)&lt;=0.1,0)))</f>
        <v>0.2</v>
      </c>
      <c r="M133" s="41">
        <f t="shared" ref="M133:M136" si="50">H133-K133</f>
        <v>44.207999999999998</v>
      </c>
      <c r="N133" s="43" t="s">
        <v>80</v>
      </c>
      <c r="O133" s="53" t="s">
        <v>106</v>
      </c>
    </row>
    <row r="134" spans="1:17" ht="65" customHeight="1" x14ac:dyDescent="0.2">
      <c r="A134" s="52">
        <v>3</v>
      </c>
      <c r="B134" s="40" t="s">
        <v>91</v>
      </c>
      <c r="C134" s="39">
        <v>0</v>
      </c>
      <c r="D134" s="41">
        <v>0</v>
      </c>
      <c r="E134" s="41">
        <f t="shared" si="46"/>
        <v>0</v>
      </c>
      <c r="F134" s="42">
        <v>1</v>
      </c>
      <c r="G134" s="41">
        <v>150.96</v>
      </c>
      <c r="H134" s="41">
        <f t="shared" si="47"/>
        <v>150.96</v>
      </c>
      <c r="I134" s="42">
        <v>3</v>
      </c>
      <c r="J134" s="42">
        <v>15</v>
      </c>
      <c r="K134" s="41">
        <f t="shared" si="48"/>
        <v>120.76800000000001</v>
      </c>
      <c r="L134" s="158">
        <f t="shared" si="49"/>
        <v>0.2</v>
      </c>
      <c r="M134" s="41">
        <f t="shared" si="50"/>
        <v>30.191999999999993</v>
      </c>
      <c r="N134" s="43" t="s">
        <v>80</v>
      </c>
      <c r="O134" s="53" t="s">
        <v>105</v>
      </c>
    </row>
    <row r="135" spans="1:17" ht="65" customHeight="1" x14ac:dyDescent="0.2">
      <c r="A135" s="52">
        <v>4</v>
      </c>
      <c r="B135" s="40" t="s">
        <v>92</v>
      </c>
      <c r="C135" s="39">
        <v>0</v>
      </c>
      <c r="D135" s="41">
        <v>0</v>
      </c>
      <c r="E135" s="41">
        <f t="shared" si="46"/>
        <v>0</v>
      </c>
      <c r="F135" s="42">
        <v>2</v>
      </c>
      <c r="G135" s="41">
        <v>198.68</v>
      </c>
      <c r="H135" s="41">
        <f t="shared" si="47"/>
        <v>397.36</v>
      </c>
      <c r="I135" s="42">
        <v>3</v>
      </c>
      <c r="J135" s="42">
        <v>15</v>
      </c>
      <c r="K135" s="41">
        <f t="shared" si="48"/>
        <v>317.88800000000003</v>
      </c>
      <c r="L135" s="158">
        <f t="shared" si="49"/>
        <v>0.2</v>
      </c>
      <c r="M135" s="41">
        <f t="shared" si="50"/>
        <v>79.47199999999998</v>
      </c>
      <c r="N135" s="43" t="s">
        <v>80</v>
      </c>
      <c r="O135" s="53" t="s">
        <v>107</v>
      </c>
    </row>
    <row r="136" spans="1:17" ht="65" customHeight="1" x14ac:dyDescent="0.2">
      <c r="A136" s="52">
        <v>5</v>
      </c>
      <c r="B136" s="40" t="s">
        <v>93</v>
      </c>
      <c r="C136" s="39">
        <v>0</v>
      </c>
      <c r="D136" s="41">
        <v>0</v>
      </c>
      <c r="E136" s="41">
        <f t="shared" si="46"/>
        <v>0</v>
      </c>
      <c r="F136" s="42">
        <v>1</v>
      </c>
      <c r="G136" s="41">
        <v>115.79</v>
      </c>
      <c r="H136" s="41">
        <f t="shared" si="47"/>
        <v>115.79</v>
      </c>
      <c r="I136" s="42">
        <v>3</v>
      </c>
      <c r="J136" s="42">
        <v>15</v>
      </c>
      <c r="K136" s="41">
        <f t="shared" si="48"/>
        <v>92.632000000000005</v>
      </c>
      <c r="L136" s="158">
        <f t="shared" si="49"/>
        <v>0.2</v>
      </c>
      <c r="M136" s="41">
        <f t="shared" si="50"/>
        <v>23.158000000000001</v>
      </c>
      <c r="N136" s="43" t="s">
        <v>80</v>
      </c>
      <c r="O136" s="53" t="s">
        <v>118</v>
      </c>
    </row>
    <row r="137" spans="1:17" ht="65" customHeight="1" x14ac:dyDescent="0.2">
      <c r="A137" s="52">
        <v>6</v>
      </c>
      <c r="B137" s="40" t="s">
        <v>94</v>
      </c>
      <c r="C137" s="39">
        <v>0</v>
      </c>
      <c r="D137" s="41">
        <v>0</v>
      </c>
      <c r="E137" s="41">
        <f t="shared" si="46"/>
        <v>0</v>
      </c>
      <c r="F137" s="42">
        <v>2</v>
      </c>
      <c r="G137" s="41">
        <v>118.56</v>
      </c>
      <c r="H137" s="41">
        <f t="shared" ref="H137:H138" si="51">F137*G137</f>
        <v>237.12</v>
      </c>
      <c r="I137" s="42">
        <v>3</v>
      </c>
      <c r="J137" s="42">
        <v>15</v>
      </c>
      <c r="K137" s="41">
        <f t="shared" ref="K137:K138" si="52">H137*(1-L137)</f>
        <v>189.69600000000003</v>
      </c>
      <c r="L137" s="158">
        <f t="shared" ref="L137:L138" si="53">IF((I137/J137)&gt;=0.75,0.75,IF((I137/J137)&gt;=0,(I137/J137),IF((I137/J137)&lt;=0.1,0)))</f>
        <v>0.2</v>
      </c>
      <c r="M137" s="41">
        <f t="shared" ref="M137:M138" si="54">H137-K137</f>
        <v>47.423999999999978</v>
      </c>
      <c r="N137" s="43" t="s">
        <v>80</v>
      </c>
      <c r="O137" s="53" t="s">
        <v>117</v>
      </c>
    </row>
    <row r="138" spans="1:17" ht="65" customHeight="1" x14ac:dyDescent="0.2">
      <c r="A138" s="52">
        <v>7</v>
      </c>
      <c r="B138" s="40" t="s">
        <v>95</v>
      </c>
      <c r="C138" s="39">
        <v>0</v>
      </c>
      <c r="D138" s="41">
        <v>0</v>
      </c>
      <c r="E138" s="41">
        <f t="shared" si="46"/>
        <v>0</v>
      </c>
      <c r="F138" s="42">
        <v>1</v>
      </c>
      <c r="G138" s="41">
        <v>858.21</v>
      </c>
      <c r="H138" s="41">
        <f t="shared" si="51"/>
        <v>858.21</v>
      </c>
      <c r="I138" s="42">
        <v>3</v>
      </c>
      <c r="J138" s="42">
        <v>15</v>
      </c>
      <c r="K138" s="41">
        <f t="shared" si="52"/>
        <v>686.5680000000001</v>
      </c>
      <c r="L138" s="158">
        <f t="shared" si="53"/>
        <v>0.2</v>
      </c>
      <c r="M138" s="41">
        <f t="shared" si="54"/>
        <v>171.64199999999994</v>
      </c>
      <c r="N138" s="43" t="s">
        <v>80</v>
      </c>
      <c r="O138" s="53" t="s">
        <v>119</v>
      </c>
    </row>
    <row r="139" spans="1:17" ht="65" customHeight="1" x14ac:dyDescent="0.2">
      <c r="A139" s="52">
        <v>8</v>
      </c>
      <c r="B139" s="40" t="s">
        <v>112</v>
      </c>
      <c r="C139" s="39">
        <v>0</v>
      </c>
      <c r="D139" s="41">
        <v>0</v>
      </c>
      <c r="E139" s="41">
        <f t="shared" ref="E139:E141" si="55">C139*D139</f>
        <v>0</v>
      </c>
      <c r="F139" s="42">
        <v>1</v>
      </c>
      <c r="G139" s="41">
        <v>173.97</v>
      </c>
      <c r="H139" s="41">
        <f t="shared" ref="H139:H141" si="56">F139*G139</f>
        <v>173.97</v>
      </c>
      <c r="I139" s="42">
        <v>3</v>
      </c>
      <c r="J139" s="42">
        <v>15</v>
      </c>
      <c r="K139" s="41">
        <f t="shared" ref="K139:K141" si="57">H139*(1-L139)</f>
        <v>139.17600000000002</v>
      </c>
      <c r="L139" s="158">
        <f t="shared" ref="L139:L141" si="58">IF((I139/J139)&gt;=0.75,0.75,IF((I139/J139)&gt;=0,(I139/J139),IF((I139/J139)&lt;=0.1,0)))</f>
        <v>0.2</v>
      </c>
      <c r="M139" s="41">
        <f t="shared" ref="M139:M141" si="59">H139-K139</f>
        <v>34.793999999999983</v>
      </c>
      <c r="N139" s="43" t="s">
        <v>80</v>
      </c>
      <c r="O139" s="53" t="s">
        <v>120</v>
      </c>
    </row>
    <row r="140" spans="1:17" ht="65" customHeight="1" x14ac:dyDescent="0.2">
      <c r="A140" s="52">
        <v>9</v>
      </c>
      <c r="B140" s="159" t="s">
        <v>96</v>
      </c>
      <c r="C140" s="160">
        <v>0</v>
      </c>
      <c r="D140" s="161">
        <v>0</v>
      </c>
      <c r="E140" s="161">
        <f t="shared" si="55"/>
        <v>0</v>
      </c>
      <c r="F140" s="162">
        <v>2</v>
      </c>
      <c r="G140" s="161">
        <v>83.69</v>
      </c>
      <c r="H140" s="161">
        <f t="shared" si="56"/>
        <v>167.38</v>
      </c>
      <c r="I140" s="162">
        <v>3</v>
      </c>
      <c r="J140" s="162">
        <v>15</v>
      </c>
      <c r="K140" s="161">
        <f t="shared" si="57"/>
        <v>133.904</v>
      </c>
      <c r="L140" s="163">
        <f t="shared" si="58"/>
        <v>0.2</v>
      </c>
      <c r="M140" s="161">
        <f t="shared" si="59"/>
        <v>33.475999999999999</v>
      </c>
      <c r="N140" s="164" t="s">
        <v>80</v>
      </c>
      <c r="O140" s="165" t="s">
        <v>122</v>
      </c>
    </row>
    <row r="141" spans="1:17" ht="74" customHeight="1" x14ac:dyDescent="0.2">
      <c r="A141" s="52">
        <v>10</v>
      </c>
      <c r="B141" s="40">
        <v>6820</v>
      </c>
      <c r="C141" s="39">
        <v>0</v>
      </c>
      <c r="D141" s="41">
        <v>0</v>
      </c>
      <c r="E141" s="41">
        <f t="shared" si="55"/>
        <v>0</v>
      </c>
      <c r="F141" s="42">
        <v>1</v>
      </c>
      <c r="G141" s="41">
        <v>2695.75</v>
      </c>
      <c r="H141" s="41">
        <f t="shared" si="56"/>
        <v>2695.75</v>
      </c>
      <c r="I141" s="42">
        <v>3</v>
      </c>
      <c r="J141" s="42">
        <v>15</v>
      </c>
      <c r="K141" s="41">
        <f t="shared" si="57"/>
        <v>2156.6</v>
      </c>
      <c r="L141" s="158">
        <f t="shared" si="58"/>
        <v>0.2</v>
      </c>
      <c r="M141" s="41">
        <f t="shared" si="59"/>
        <v>539.15000000000009</v>
      </c>
      <c r="N141" s="43" t="s">
        <v>80</v>
      </c>
      <c r="O141" s="53" t="s">
        <v>121</v>
      </c>
      <c r="Q141" s="111"/>
    </row>
    <row r="142" spans="1:17" ht="65" customHeight="1" x14ac:dyDescent="0.2">
      <c r="A142" s="52">
        <v>11</v>
      </c>
      <c r="B142" s="40" t="s">
        <v>113</v>
      </c>
      <c r="C142" s="39">
        <v>0</v>
      </c>
      <c r="D142" s="41">
        <v>0</v>
      </c>
      <c r="E142" s="41">
        <f t="shared" si="46"/>
        <v>0</v>
      </c>
      <c r="F142" s="42">
        <v>5</v>
      </c>
      <c r="G142" s="41">
        <v>125</v>
      </c>
      <c r="H142" s="41">
        <f t="shared" ref="H142:H144" si="60">F142*G142</f>
        <v>625</v>
      </c>
      <c r="I142" s="42" t="s">
        <v>79</v>
      </c>
      <c r="J142" s="42" t="s">
        <v>79</v>
      </c>
      <c r="K142" s="41">
        <f t="shared" ref="K142:K144" si="61">H142*(1-L142)</f>
        <v>625</v>
      </c>
      <c r="L142" s="158">
        <v>0</v>
      </c>
      <c r="M142" s="41">
        <f t="shared" ref="M142:M144" si="62">H142-K142</f>
        <v>0</v>
      </c>
      <c r="N142" s="43" t="s">
        <v>79</v>
      </c>
      <c r="O142" s="53" t="s">
        <v>116</v>
      </c>
    </row>
    <row r="143" spans="1:17" ht="65" customHeight="1" x14ac:dyDescent="0.2">
      <c r="A143" s="52">
        <v>12</v>
      </c>
      <c r="B143" s="40" t="s">
        <v>114</v>
      </c>
      <c r="C143" s="39">
        <v>0</v>
      </c>
      <c r="D143" s="41">
        <v>0</v>
      </c>
      <c r="E143" s="41">
        <f t="shared" si="46"/>
        <v>0</v>
      </c>
      <c r="F143" s="42">
        <v>5</v>
      </c>
      <c r="G143" s="41">
        <v>125</v>
      </c>
      <c r="H143" s="41">
        <f t="shared" si="60"/>
        <v>625</v>
      </c>
      <c r="I143" s="42" t="s">
        <v>79</v>
      </c>
      <c r="J143" s="42" t="s">
        <v>79</v>
      </c>
      <c r="K143" s="41">
        <f t="shared" si="61"/>
        <v>625</v>
      </c>
      <c r="L143" s="158">
        <v>0</v>
      </c>
      <c r="M143" s="41">
        <f t="shared" si="62"/>
        <v>0</v>
      </c>
      <c r="N143" s="43" t="s">
        <v>79</v>
      </c>
      <c r="O143" s="53" t="s">
        <v>115</v>
      </c>
    </row>
    <row r="144" spans="1:17" ht="65" customHeight="1" thickBot="1" x14ac:dyDescent="0.25">
      <c r="A144" s="54">
        <v>13</v>
      </c>
      <c r="B144" s="55" t="s">
        <v>101</v>
      </c>
      <c r="C144" s="56">
        <v>0</v>
      </c>
      <c r="D144" s="57">
        <v>0</v>
      </c>
      <c r="E144" s="57">
        <f t="shared" si="46"/>
        <v>0</v>
      </c>
      <c r="F144" s="58">
        <v>1</v>
      </c>
      <c r="G144" s="57">
        <v>660</v>
      </c>
      <c r="H144" s="57">
        <f t="shared" si="60"/>
        <v>660</v>
      </c>
      <c r="I144" s="58" t="s">
        <v>79</v>
      </c>
      <c r="J144" s="58" t="s">
        <v>79</v>
      </c>
      <c r="K144" s="57">
        <f t="shared" si="61"/>
        <v>660</v>
      </c>
      <c r="L144" s="59">
        <v>0</v>
      </c>
      <c r="M144" s="57">
        <f t="shared" si="62"/>
        <v>0</v>
      </c>
      <c r="N144" s="60" t="s">
        <v>79</v>
      </c>
      <c r="O144" s="61" t="s">
        <v>109</v>
      </c>
    </row>
    <row r="145" spans="1:15" s="5" customFormat="1" ht="18" customHeight="1" thickBot="1" x14ac:dyDescent="0.25">
      <c r="A145" s="112" t="s">
        <v>15</v>
      </c>
      <c r="B145" s="113"/>
      <c r="C145" s="113"/>
      <c r="D145" s="114"/>
      <c r="E145" s="24">
        <f>SUM(E132:E144)</f>
        <v>7259.99</v>
      </c>
      <c r="F145" s="25"/>
      <c r="G145" s="26"/>
      <c r="H145" s="27">
        <f>SUM(H132:H144)</f>
        <v>6927.58</v>
      </c>
      <c r="I145" s="115"/>
      <c r="J145" s="116"/>
      <c r="K145" s="28">
        <f>SUM(K132:K144)</f>
        <v>5924.0640000000003</v>
      </c>
      <c r="L145" s="28"/>
      <c r="M145" s="28">
        <f>SUM(M132:M144)</f>
        <v>1003.516</v>
      </c>
      <c r="N145"/>
    </row>
    <row r="146" spans="1:15" s="5" customFormat="1" ht="18" customHeight="1" thickBot="1" x14ac:dyDescent="0.25">
      <c r="A146" s="117" t="s">
        <v>16</v>
      </c>
      <c r="B146" s="118"/>
      <c r="C146" s="118"/>
      <c r="D146" s="119"/>
      <c r="E146" s="29">
        <v>0</v>
      </c>
      <c r="F146" s="30"/>
      <c r="G146" s="31"/>
      <c r="H146" s="29">
        <v>332.41</v>
      </c>
      <c r="I146" s="120"/>
      <c r="J146" s="121"/>
      <c r="K146" s="32">
        <f>0.047983567*K145</f>
        <v>284.25772185628801</v>
      </c>
      <c r="L146" s="32"/>
      <c r="M146" s="32">
        <f>H146-K146</f>
        <v>48.15227814371201</v>
      </c>
      <c r="N146"/>
    </row>
    <row r="147" spans="1:15" s="5" customFormat="1" ht="18" customHeight="1" thickBot="1" x14ac:dyDescent="0.25">
      <c r="A147" s="117" t="s">
        <v>14</v>
      </c>
      <c r="B147" s="118"/>
      <c r="C147" s="118"/>
      <c r="D147" s="119"/>
      <c r="E147" s="33">
        <f>SUM(E145:E146)</f>
        <v>7259.99</v>
      </c>
      <c r="F147" s="34"/>
      <c r="G147" s="35"/>
      <c r="H147" s="33">
        <f>SUM(H145,H146)</f>
        <v>7259.99</v>
      </c>
      <c r="I147" s="122"/>
      <c r="J147" s="123"/>
      <c r="K147" s="36">
        <f>SUM(K145:K146)</f>
        <v>6208.3217218562886</v>
      </c>
      <c r="L147" s="36"/>
      <c r="M147" s="36">
        <f>SUM(M145:M146)</f>
        <v>1051.6682781437121</v>
      </c>
      <c r="N147"/>
    </row>
    <row r="148" spans="1:15" ht="1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/>
      <c r="O148" s="2"/>
    </row>
    <row r="149" spans="1:15" ht="12.75" customHeight="1" thickBo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37"/>
    </row>
    <row r="150" spans="1:15" s="10" customFormat="1" ht="25.5" customHeight="1" thickBot="1" x14ac:dyDescent="0.2">
      <c r="A150" s="124" t="s">
        <v>64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6"/>
    </row>
    <row r="151" spans="1:15" ht="24" customHeight="1" thickBot="1" x14ac:dyDescent="0.25">
      <c r="A151" s="127" t="s">
        <v>1</v>
      </c>
      <c r="B151" s="129" t="s">
        <v>2</v>
      </c>
      <c r="C151" s="131" t="s">
        <v>3</v>
      </c>
      <c r="D151" s="132"/>
      <c r="E151" s="133"/>
      <c r="F151" s="131" t="s">
        <v>4</v>
      </c>
      <c r="G151" s="132"/>
      <c r="H151" s="133"/>
      <c r="I151" s="134" t="s">
        <v>5</v>
      </c>
      <c r="J151" s="134" t="s">
        <v>6</v>
      </c>
      <c r="K151" s="134" t="s">
        <v>7</v>
      </c>
      <c r="L151" s="134" t="s">
        <v>8</v>
      </c>
      <c r="M151" s="134" t="s">
        <v>9</v>
      </c>
      <c r="N151" s="134" t="s">
        <v>10</v>
      </c>
      <c r="O151" s="127" t="s">
        <v>11</v>
      </c>
    </row>
    <row r="152" spans="1:15" ht="24" customHeight="1" thickBot="1" x14ac:dyDescent="0.25">
      <c r="A152" s="128"/>
      <c r="B152" s="130"/>
      <c r="C152" s="12" t="s">
        <v>12</v>
      </c>
      <c r="D152" s="11" t="s">
        <v>13</v>
      </c>
      <c r="E152" s="13" t="s">
        <v>14</v>
      </c>
      <c r="F152" s="13" t="s">
        <v>12</v>
      </c>
      <c r="G152" s="13" t="s">
        <v>13</v>
      </c>
      <c r="H152" s="13" t="s">
        <v>14</v>
      </c>
      <c r="I152" s="135"/>
      <c r="J152" s="135"/>
      <c r="K152" s="135"/>
      <c r="L152" s="135"/>
      <c r="M152" s="135"/>
      <c r="N152" s="135"/>
      <c r="O152" s="128"/>
    </row>
    <row r="153" spans="1:15" ht="103" customHeight="1" x14ac:dyDescent="0.2">
      <c r="A153" s="62">
        <v>1</v>
      </c>
      <c r="B153" s="79" t="s">
        <v>123</v>
      </c>
      <c r="C153" s="64">
        <v>1</v>
      </c>
      <c r="D153" s="65">
        <v>12489.71</v>
      </c>
      <c r="E153" s="65">
        <f t="shared" ref="E153:E159" si="63">C153*D153</f>
        <v>12489.71</v>
      </c>
      <c r="F153" s="66">
        <v>0</v>
      </c>
      <c r="G153" s="65">
        <v>0</v>
      </c>
      <c r="H153" s="65">
        <f>F153*G153</f>
        <v>0</v>
      </c>
      <c r="I153" s="66" t="s">
        <v>79</v>
      </c>
      <c r="J153" s="66" t="s">
        <v>79</v>
      </c>
      <c r="K153" s="65">
        <f>H153*(1-L153)</f>
        <v>0</v>
      </c>
      <c r="L153" s="67">
        <v>0</v>
      </c>
      <c r="M153" s="65">
        <f>H153-K153</f>
        <v>0</v>
      </c>
      <c r="N153" s="68" t="s">
        <v>79</v>
      </c>
      <c r="O153" s="69" t="s">
        <v>124</v>
      </c>
    </row>
    <row r="154" spans="1:15" ht="65" customHeight="1" x14ac:dyDescent="0.2">
      <c r="A154" s="70">
        <v>2</v>
      </c>
      <c r="B154" s="21" t="s">
        <v>90</v>
      </c>
      <c r="C154" s="15">
        <v>0</v>
      </c>
      <c r="D154" s="18">
        <v>0</v>
      </c>
      <c r="E154" s="18">
        <f t="shared" si="63"/>
        <v>0</v>
      </c>
      <c r="F154" s="22">
        <v>2</v>
      </c>
      <c r="G154" s="18">
        <v>110.52</v>
      </c>
      <c r="H154" s="18">
        <f t="shared" ref="H154:H156" si="64">F154*G154</f>
        <v>221.04</v>
      </c>
      <c r="I154" s="22">
        <v>3</v>
      </c>
      <c r="J154" s="22">
        <v>15</v>
      </c>
      <c r="K154" s="18">
        <f t="shared" ref="K154:K156" si="65">H154*(1-L154)</f>
        <v>176.83199999999999</v>
      </c>
      <c r="L154" s="19">
        <f t="shared" ref="L154:L156" si="66">IF((I154/J154)&gt;=0.75,0.75,IF((I154/J154)&gt;=0,(I154/J154),IF((I154/J154)&lt;=0.1,0)))</f>
        <v>0.2</v>
      </c>
      <c r="M154" s="18">
        <f t="shared" ref="M154:M156" si="67">H154-K154</f>
        <v>44.207999999999998</v>
      </c>
      <c r="N154" s="23" t="s">
        <v>80</v>
      </c>
      <c r="O154" s="71" t="s">
        <v>106</v>
      </c>
    </row>
    <row r="155" spans="1:15" ht="65" customHeight="1" x14ac:dyDescent="0.2">
      <c r="A155" s="70">
        <v>3</v>
      </c>
      <c r="B155" s="21" t="s">
        <v>91</v>
      </c>
      <c r="C155" s="15">
        <v>0</v>
      </c>
      <c r="D155" s="18">
        <v>0</v>
      </c>
      <c r="E155" s="18">
        <f t="shared" si="63"/>
        <v>0</v>
      </c>
      <c r="F155" s="22">
        <v>4</v>
      </c>
      <c r="G155" s="18">
        <v>150.96</v>
      </c>
      <c r="H155" s="18">
        <f t="shared" si="64"/>
        <v>603.84</v>
      </c>
      <c r="I155" s="22">
        <v>3</v>
      </c>
      <c r="J155" s="22">
        <v>15</v>
      </c>
      <c r="K155" s="18">
        <f t="shared" si="65"/>
        <v>483.07200000000006</v>
      </c>
      <c r="L155" s="19">
        <f t="shared" si="66"/>
        <v>0.2</v>
      </c>
      <c r="M155" s="18">
        <f t="shared" si="67"/>
        <v>120.76799999999997</v>
      </c>
      <c r="N155" s="23" t="s">
        <v>80</v>
      </c>
      <c r="O155" s="71" t="s">
        <v>105</v>
      </c>
    </row>
    <row r="156" spans="1:15" ht="65" customHeight="1" x14ac:dyDescent="0.2">
      <c r="A156" s="70">
        <v>4</v>
      </c>
      <c r="B156" s="21" t="s">
        <v>92</v>
      </c>
      <c r="C156" s="15">
        <v>0</v>
      </c>
      <c r="D156" s="18">
        <v>0</v>
      </c>
      <c r="E156" s="18">
        <f t="shared" si="63"/>
        <v>0</v>
      </c>
      <c r="F156" s="22">
        <v>5</v>
      </c>
      <c r="G156" s="18">
        <v>198.68</v>
      </c>
      <c r="H156" s="18">
        <f t="shared" si="64"/>
        <v>993.40000000000009</v>
      </c>
      <c r="I156" s="22">
        <v>3</v>
      </c>
      <c r="J156" s="22">
        <v>15</v>
      </c>
      <c r="K156" s="18">
        <f t="shared" si="65"/>
        <v>794.72000000000014</v>
      </c>
      <c r="L156" s="19">
        <f t="shared" si="66"/>
        <v>0.2</v>
      </c>
      <c r="M156" s="18">
        <f t="shared" si="67"/>
        <v>198.67999999999995</v>
      </c>
      <c r="N156" s="23" t="s">
        <v>80</v>
      </c>
      <c r="O156" s="71" t="s">
        <v>107</v>
      </c>
    </row>
    <row r="157" spans="1:15" ht="65" customHeight="1" x14ac:dyDescent="0.2">
      <c r="A157" s="70">
        <v>5</v>
      </c>
      <c r="B157" s="21" t="s">
        <v>93</v>
      </c>
      <c r="C157" s="15">
        <v>0</v>
      </c>
      <c r="D157" s="18">
        <v>0</v>
      </c>
      <c r="E157" s="18">
        <f t="shared" si="63"/>
        <v>0</v>
      </c>
      <c r="F157" s="15">
        <v>3</v>
      </c>
      <c r="G157" s="18">
        <v>115.79</v>
      </c>
      <c r="H157" s="18">
        <f t="shared" ref="H157:H167" si="68">F157*G157</f>
        <v>347.37</v>
      </c>
      <c r="I157" s="22">
        <v>3</v>
      </c>
      <c r="J157" s="22">
        <v>15</v>
      </c>
      <c r="K157" s="18">
        <f t="shared" ref="K157:K159" si="69">H157*(1-L157)</f>
        <v>277.89600000000002</v>
      </c>
      <c r="L157" s="19">
        <f t="shared" ref="L157:L159" si="70">IF((I157/J157)&gt;=0.75,0.75,IF((I157/J157)&gt;=0,(I157/J157),IF((I157/J157)&lt;=0.1,0)))</f>
        <v>0.2</v>
      </c>
      <c r="M157" s="18">
        <f t="shared" ref="M157:M159" si="71">H157-K157</f>
        <v>69.47399999999999</v>
      </c>
      <c r="N157" s="23" t="s">
        <v>80</v>
      </c>
      <c r="O157" s="71" t="s">
        <v>118</v>
      </c>
    </row>
    <row r="158" spans="1:15" ht="65" customHeight="1" x14ac:dyDescent="0.2">
      <c r="A158" s="70">
        <v>6</v>
      </c>
      <c r="B158" s="21" t="s">
        <v>94</v>
      </c>
      <c r="C158" s="15">
        <v>0</v>
      </c>
      <c r="D158" s="18">
        <v>0</v>
      </c>
      <c r="E158" s="18">
        <f t="shared" si="63"/>
        <v>0</v>
      </c>
      <c r="F158" s="15">
        <v>2</v>
      </c>
      <c r="G158" s="18">
        <v>118.56</v>
      </c>
      <c r="H158" s="18">
        <f t="shared" si="68"/>
        <v>237.12</v>
      </c>
      <c r="I158" s="22">
        <v>3</v>
      </c>
      <c r="J158" s="22">
        <v>15</v>
      </c>
      <c r="K158" s="18">
        <f t="shared" si="69"/>
        <v>189.69600000000003</v>
      </c>
      <c r="L158" s="19">
        <f t="shared" si="70"/>
        <v>0.2</v>
      </c>
      <c r="M158" s="18">
        <f t="shared" si="71"/>
        <v>47.423999999999978</v>
      </c>
      <c r="N158" s="23" t="s">
        <v>80</v>
      </c>
      <c r="O158" s="71" t="s">
        <v>117</v>
      </c>
    </row>
    <row r="159" spans="1:15" ht="65" customHeight="1" x14ac:dyDescent="0.2">
      <c r="A159" s="70">
        <v>7</v>
      </c>
      <c r="B159" s="21" t="s">
        <v>95</v>
      </c>
      <c r="C159" s="15">
        <v>0</v>
      </c>
      <c r="D159" s="18">
        <v>0</v>
      </c>
      <c r="E159" s="18">
        <f t="shared" si="63"/>
        <v>0</v>
      </c>
      <c r="F159" s="15">
        <v>1</v>
      </c>
      <c r="G159" s="18">
        <v>858.21</v>
      </c>
      <c r="H159" s="18">
        <f t="shared" si="68"/>
        <v>858.21</v>
      </c>
      <c r="I159" s="22">
        <v>3</v>
      </c>
      <c r="J159" s="22">
        <v>15</v>
      </c>
      <c r="K159" s="18">
        <f t="shared" si="69"/>
        <v>686.5680000000001</v>
      </c>
      <c r="L159" s="19">
        <f t="shared" si="70"/>
        <v>0.2</v>
      </c>
      <c r="M159" s="18">
        <f t="shared" si="71"/>
        <v>171.64199999999994</v>
      </c>
      <c r="N159" s="23" t="s">
        <v>80</v>
      </c>
      <c r="O159" s="71" t="s">
        <v>119</v>
      </c>
    </row>
    <row r="160" spans="1:15" ht="65" customHeight="1" x14ac:dyDescent="0.2">
      <c r="A160" s="70">
        <v>8</v>
      </c>
      <c r="B160" s="21" t="s">
        <v>112</v>
      </c>
      <c r="C160" s="15">
        <v>0</v>
      </c>
      <c r="D160" s="18">
        <v>0</v>
      </c>
      <c r="E160" s="18">
        <f t="shared" ref="E160:E167" si="72">C160*D160</f>
        <v>0</v>
      </c>
      <c r="F160" s="15">
        <v>1</v>
      </c>
      <c r="G160" s="18">
        <v>173.97</v>
      </c>
      <c r="H160" s="18">
        <f t="shared" si="68"/>
        <v>173.97</v>
      </c>
      <c r="I160" s="22">
        <v>3</v>
      </c>
      <c r="J160" s="22">
        <v>15</v>
      </c>
      <c r="K160" s="18">
        <f t="shared" ref="K160:K162" si="73">H160*(1-L160)</f>
        <v>139.17600000000002</v>
      </c>
      <c r="L160" s="19">
        <f t="shared" ref="L160:L162" si="74">IF((I160/J160)&gt;=0.75,0.75,IF((I160/J160)&gt;=0,(I160/J160),IF((I160/J160)&lt;=0.1,0)))</f>
        <v>0.2</v>
      </c>
      <c r="M160" s="18">
        <f t="shared" ref="M160:M162" si="75">H160-K160</f>
        <v>34.793999999999983</v>
      </c>
      <c r="N160" s="23" t="s">
        <v>80</v>
      </c>
      <c r="O160" s="71" t="s">
        <v>120</v>
      </c>
    </row>
    <row r="161" spans="1:15" ht="65" customHeight="1" x14ac:dyDescent="0.2">
      <c r="A161" s="70">
        <v>9</v>
      </c>
      <c r="B161" s="21" t="s">
        <v>96</v>
      </c>
      <c r="C161" s="15">
        <v>0</v>
      </c>
      <c r="D161" s="18">
        <v>0</v>
      </c>
      <c r="E161" s="18">
        <f t="shared" si="72"/>
        <v>0</v>
      </c>
      <c r="F161" s="15">
        <v>2</v>
      </c>
      <c r="G161" s="18">
        <v>83.69</v>
      </c>
      <c r="H161" s="18">
        <f t="shared" si="68"/>
        <v>167.38</v>
      </c>
      <c r="I161" s="22">
        <v>3</v>
      </c>
      <c r="J161" s="22">
        <v>15</v>
      </c>
      <c r="K161" s="18">
        <f t="shared" si="73"/>
        <v>133.904</v>
      </c>
      <c r="L161" s="19">
        <f t="shared" si="74"/>
        <v>0.2</v>
      </c>
      <c r="M161" s="18">
        <f t="shared" si="75"/>
        <v>33.475999999999999</v>
      </c>
      <c r="N161" s="23" t="s">
        <v>80</v>
      </c>
      <c r="O161" s="81" t="s">
        <v>122</v>
      </c>
    </row>
    <row r="162" spans="1:15" ht="65" customHeight="1" x14ac:dyDescent="0.2">
      <c r="A162" s="70">
        <v>10</v>
      </c>
      <c r="B162" s="21" t="s">
        <v>97</v>
      </c>
      <c r="C162" s="15">
        <v>0</v>
      </c>
      <c r="D162" s="18">
        <v>0</v>
      </c>
      <c r="E162" s="18">
        <f t="shared" si="72"/>
        <v>0</v>
      </c>
      <c r="F162" s="15">
        <v>7</v>
      </c>
      <c r="G162" s="18">
        <v>99.68</v>
      </c>
      <c r="H162" s="18">
        <f t="shared" si="68"/>
        <v>697.76</v>
      </c>
      <c r="I162" s="22">
        <v>3</v>
      </c>
      <c r="J162" s="22">
        <v>15</v>
      </c>
      <c r="K162" s="18">
        <f t="shared" si="73"/>
        <v>558.20799999999997</v>
      </c>
      <c r="L162" s="19">
        <f t="shared" si="74"/>
        <v>0.2</v>
      </c>
      <c r="M162" s="18">
        <f t="shared" si="75"/>
        <v>139.55200000000002</v>
      </c>
      <c r="N162" s="23" t="s">
        <v>80</v>
      </c>
      <c r="O162" s="71" t="s">
        <v>126</v>
      </c>
    </row>
    <row r="163" spans="1:15" ht="74" customHeight="1" x14ac:dyDescent="0.2">
      <c r="A163" s="70">
        <v>11</v>
      </c>
      <c r="B163" s="21">
        <v>6820</v>
      </c>
      <c r="C163" s="15">
        <v>0</v>
      </c>
      <c r="D163" s="18">
        <v>0</v>
      </c>
      <c r="E163" s="18">
        <f t="shared" si="72"/>
        <v>0</v>
      </c>
      <c r="F163" s="15">
        <v>1</v>
      </c>
      <c r="G163" s="18">
        <v>2695.75</v>
      </c>
      <c r="H163" s="18">
        <f t="shared" si="68"/>
        <v>2695.75</v>
      </c>
      <c r="I163" s="22">
        <v>3</v>
      </c>
      <c r="J163" s="22">
        <v>15</v>
      </c>
      <c r="K163" s="18">
        <f t="shared" ref="K163:K167" si="76">H163*(1-L163)</f>
        <v>2156.6</v>
      </c>
      <c r="L163" s="19">
        <f t="shared" ref="L163:L164" si="77">IF((I163/J163)&gt;=0.75,0.75,IF((I163/J163)&gt;=0,(I163/J163),IF((I163/J163)&lt;=0.1,0)))</f>
        <v>0.2</v>
      </c>
      <c r="M163" s="18">
        <f t="shared" ref="M163:M167" si="78">H163-K163</f>
        <v>539.15000000000009</v>
      </c>
      <c r="N163" s="23" t="s">
        <v>80</v>
      </c>
      <c r="O163" s="71" t="s">
        <v>121</v>
      </c>
    </row>
    <row r="164" spans="1:15" ht="74" customHeight="1" x14ac:dyDescent="0.2">
      <c r="A164" s="70">
        <v>12</v>
      </c>
      <c r="B164" s="21" t="s">
        <v>98</v>
      </c>
      <c r="C164" s="15">
        <v>0</v>
      </c>
      <c r="D164" s="18">
        <v>0</v>
      </c>
      <c r="E164" s="18">
        <f t="shared" si="72"/>
        <v>0</v>
      </c>
      <c r="F164" s="15">
        <v>1</v>
      </c>
      <c r="G164" s="18">
        <v>1308.29</v>
      </c>
      <c r="H164" s="18">
        <f t="shared" si="68"/>
        <v>1308.29</v>
      </c>
      <c r="I164" s="22">
        <v>3</v>
      </c>
      <c r="J164" s="22">
        <v>15</v>
      </c>
      <c r="K164" s="18">
        <f t="shared" si="76"/>
        <v>1046.6320000000001</v>
      </c>
      <c r="L164" s="19">
        <f t="shared" si="77"/>
        <v>0.2</v>
      </c>
      <c r="M164" s="18">
        <f t="shared" si="78"/>
        <v>261.6579999999999</v>
      </c>
      <c r="N164" s="23" t="s">
        <v>80</v>
      </c>
      <c r="O164" s="71" t="s">
        <v>127</v>
      </c>
    </row>
    <row r="165" spans="1:15" ht="65" customHeight="1" x14ac:dyDescent="0.2">
      <c r="A165" s="70">
        <v>13</v>
      </c>
      <c r="B165" s="21" t="s">
        <v>99</v>
      </c>
      <c r="C165" s="15">
        <v>0</v>
      </c>
      <c r="D165" s="18">
        <v>0</v>
      </c>
      <c r="E165" s="18">
        <f t="shared" si="72"/>
        <v>0</v>
      </c>
      <c r="F165" s="15">
        <v>11</v>
      </c>
      <c r="G165" s="18">
        <v>125</v>
      </c>
      <c r="H165" s="18">
        <f t="shared" si="68"/>
        <v>1375</v>
      </c>
      <c r="I165" s="22" t="s">
        <v>79</v>
      </c>
      <c r="J165" s="22" t="s">
        <v>79</v>
      </c>
      <c r="K165" s="18">
        <f t="shared" si="76"/>
        <v>1375</v>
      </c>
      <c r="L165" s="19">
        <v>0</v>
      </c>
      <c r="M165" s="18">
        <f t="shared" si="78"/>
        <v>0</v>
      </c>
      <c r="N165" s="23" t="s">
        <v>79</v>
      </c>
      <c r="O165" s="71" t="s">
        <v>128</v>
      </c>
    </row>
    <row r="166" spans="1:15" ht="65" customHeight="1" x14ac:dyDescent="0.2">
      <c r="A166" s="70">
        <v>14</v>
      </c>
      <c r="B166" s="21" t="s">
        <v>100</v>
      </c>
      <c r="C166" s="15">
        <v>0</v>
      </c>
      <c r="D166" s="18">
        <v>0</v>
      </c>
      <c r="E166" s="18">
        <f t="shared" ref="E166" si="79">C166*D166</f>
        <v>0</v>
      </c>
      <c r="F166" s="15">
        <v>6</v>
      </c>
      <c r="G166" s="18">
        <v>187.5</v>
      </c>
      <c r="H166" s="18">
        <f t="shared" ref="H166" si="80">F166*G166</f>
        <v>1125</v>
      </c>
      <c r="I166" s="22" t="s">
        <v>79</v>
      </c>
      <c r="J166" s="22" t="s">
        <v>79</v>
      </c>
      <c r="K166" s="18">
        <f t="shared" ref="K166" si="81">H166*(1-L166)</f>
        <v>1125</v>
      </c>
      <c r="L166" s="19">
        <v>0</v>
      </c>
      <c r="M166" s="18">
        <f t="shared" ref="M166" si="82">H166-K166</f>
        <v>0</v>
      </c>
      <c r="N166" s="23" t="s">
        <v>79</v>
      </c>
      <c r="O166" s="71" t="s">
        <v>129</v>
      </c>
    </row>
    <row r="167" spans="1:15" ht="65" customHeight="1" thickBot="1" x14ac:dyDescent="0.25">
      <c r="A167" s="72">
        <v>15</v>
      </c>
      <c r="B167" s="82" t="s">
        <v>101</v>
      </c>
      <c r="C167" s="73">
        <v>0</v>
      </c>
      <c r="D167" s="74">
        <v>0</v>
      </c>
      <c r="E167" s="74">
        <f t="shared" si="72"/>
        <v>0</v>
      </c>
      <c r="F167" s="73">
        <v>1</v>
      </c>
      <c r="G167" s="74">
        <v>1135.43</v>
      </c>
      <c r="H167" s="74">
        <f t="shared" si="68"/>
        <v>1135.43</v>
      </c>
      <c r="I167" s="75" t="s">
        <v>79</v>
      </c>
      <c r="J167" s="75" t="s">
        <v>79</v>
      </c>
      <c r="K167" s="74">
        <f t="shared" si="76"/>
        <v>1135.43</v>
      </c>
      <c r="L167" s="76">
        <v>0</v>
      </c>
      <c r="M167" s="74">
        <f t="shared" si="78"/>
        <v>0</v>
      </c>
      <c r="N167" s="77" t="s">
        <v>79</v>
      </c>
      <c r="O167" s="78" t="s">
        <v>101</v>
      </c>
    </row>
    <row r="168" spans="1:15" s="5" customFormat="1" ht="18" customHeight="1" thickBot="1" x14ac:dyDescent="0.25">
      <c r="A168" s="112" t="s">
        <v>15</v>
      </c>
      <c r="B168" s="113"/>
      <c r="C168" s="113"/>
      <c r="D168" s="114"/>
      <c r="E168" s="24">
        <f>SUM(E153:E167)</f>
        <v>12489.71</v>
      </c>
      <c r="F168" s="25"/>
      <c r="G168" s="26"/>
      <c r="H168" s="27">
        <f>SUM(H153:H167)</f>
        <v>11939.560000000001</v>
      </c>
      <c r="I168" s="115"/>
      <c r="J168" s="116"/>
      <c r="K168" s="28">
        <f>SUM(K153:K167)</f>
        <v>10278.734</v>
      </c>
      <c r="L168" s="28"/>
      <c r="M168" s="28">
        <f>SUM(M153:M167)</f>
        <v>1660.826</v>
      </c>
      <c r="N168"/>
    </row>
    <row r="169" spans="1:15" s="5" customFormat="1" ht="18" customHeight="1" thickBot="1" x14ac:dyDescent="0.25">
      <c r="A169" s="117" t="s">
        <v>16</v>
      </c>
      <c r="B169" s="118"/>
      <c r="C169" s="118"/>
      <c r="D169" s="119"/>
      <c r="E169" s="29"/>
      <c r="F169" s="30"/>
      <c r="G169" s="31"/>
      <c r="H169" s="29">
        <v>550.15</v>
      </c>
      <c r="I169" s="120"/>
      <c r="J169" s="121"/>
      <c r="K169" s="32">
        <f>0.046077912*K168</f>
        <v>473.62260072340803</v>
      </c>
      <c r="L169" s="32"/>
      <c r="M169" s="32">
        <f>H169-K169</f>
        <v>76.52739927659195</v>
      </c>
      <c r="N169"/>
    </row>
    <row r="170" spans="1:15" s="5" customFormat="1" ht="18" customHeight="1" thickBot="1" x14ac:dyDescent="0.25">
      <c r="A170" s="117" t="s">
        <v>14</v>
      </c>
      <c r="B170" s="118"/>
      <c r="C170" s="118"/>
      <c r="D170" s="119"/>
      <c r="E170" s="33">
        <f>SUM(E168:E169)</f>
        <v>12489.71</v>
      </c>
      <c r="F170" s="34"/>
      <c r="G170" s="35"/>
      <c r="H170" s="33">
        <f>SUM(H168,H169)</f>
        <v>12489.710000000001</v>
      </c>
      <c r="I170" s="122"/>
      <c r="J170" s="123"/>
      <c r="K170" s="36">
        <f>SUM(K168:K169)</f>
        <v>10752.356600723408</v>
      </c>
      <c r="L170" s="36"/>
      <c r="M170" s="36">
        <f>SUM(M168:M169)</f>
        <v>1737.353399276592</v>
      </c>
      <c r="N170"/>
    </row>
    <row r="171" spans="1:15" ht="15" customHeight="1" x14ac:dyDescent="0.2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/>
      <c r="O171" s="2"/>
    </row>
    <row r="172" spans="1:15" ht="12.75" customHeight="1" thickBo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37"/>
    </row>
    <row r="173" spans="1:15" s="10" customFormat="1" ht="25.5" customHeight="1" thickBot="1" x14ac:dyDescent="0.2">
      <c r="A173" s="124" t="s">
        <v>65</v>
      </c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6"/>
    </row>
    <row r="174" spans="1:15" ht="24" customHeight="1" thickBot="1" x14ac:dyDescent="0.25">
      <c r="A174" s="127" t="s">
        <v>1</v>
      </c>
      <c r="B174" s="129" t="s">
        <v>2</v>
      </c>
      <c r="C174" s="131" t="s">
        <v>3</v>
      </c>
      <c r="D174" s="132"/>
      <c r="E174" s="133"/>
      <c r="F174" s="131" t="s">
        <v>4</v>
      </c>
      <c r="G174" s="132"/>
      <c r="H174" s="133"/>
      <c r="I174" s="134" t="s">
        <v>5</v>
      </c>
      <c r="J174" s="134" t="s">
        <v>6</v>
      </c>
      <c r="K174" s="134" t="s">
        <v>7</v>
      </c>
      <c r="L174" s="134" t="s">
        <v>8</v>
      </c>
      <c r="M174" s="134" t="s">
        <v>9</v>
      </c>
      <c r="N174" s="134" t="s">
        <v>10</v>
      </c>
      <c r="O174" s="127" t="s">
        <v>11</v>
      </c>
    </row>
    <row r="175" spans="1:15" ht="24" customHeight="1" thickBot="1" x14ac:dyDescent="0.25">
      <c r="A175" s="128"/>
      <c r="B175" s="130"/>
      <c r="C175" s="12" t="s">
        <v>12</v>
      </c>
      <c r="D175" s="11" t="s">
        <v>13</v>
      </c>
      <c r="E175" s="13" t="s">
        <v>14</v>
      </c>
      <c r="F175" s="13" t="s">
        <v>12</v>
      </c>
      <c r="G175" s="13" t="s">
        <v>13</v>
      </c>
      <c r="H175" s="13" t="s">
        <v>14</v>
      </c>
      <c r="I175" s="135"/>
      <c r="J175" s="135"/>
      <c r="K175" s="135"/>
      <c r="L175" s="135"/>
      <c r="M175" s="135"/>
      <c r="N175" s="135"/>
      <c r="O175" s="128"/>
    </row>
    <row r="176" spans="1:15" ht="65" customHeight="1" x14ac:dyDescent="0.2">
      <c r="A176" s="62">
        <v>1</v>
      </c>
      <c r="B176" s="79" t="s">
        <v>68</v>
      </c>
      <c r="C176" s="64">
        <v>1</v>
      </c>
      <c r="D176" s="65">
        <v>23.66</v>
      </c>
      <c r="E176" s="65">
        <f t="shared" ref="E176:E178" si="83">C176*D176</f>
        <v>23.66</v>
      </c>
      <c r="F176" s="64">
        <v>1</v>
      </c>
      <c r="G176" s="65">
        <v>23.66</v>
      </c>
      <c r="H176" s="65">
        <f>F176*G176</f>
        <v>23.66</v>
      </c>
      <c r="I176" s="66">
        <v>3</v>
      </c>
      <c r="J176" s="66">
        <v>20</v>
      </c>
      <c r="K176" s="65">
        <f>H176*(1-L176)</f>
        <v>20.111000000000001</v>
      </c>
      <c r="L176" s="67">
        <f>IF((I176/J176)&gt;=0.75,0.75,IF((I176/J176)&gt;=0,(I176/J176),IF((I176/J176)&lt;=0.1,0)))</f>
        <v>0.15</v>
      </c>
      <c r="M176" s="65">
        <f>H176-K176</f>
        <v>3.5489999999999995</v>
      </c>
      <c r="N176" s="68" t="s">
        <v>80</v>
      </c>
      <c r="O176" s="69" t="s">
        <v>130</v>
      </c>
    </row>
    <row r="177" spans="1:15" ht="65" customHeight="1" x14ac:dyDescent="0.2">
      <c r="A177" s="70">
        <v>2</v>
      </c>
      <c r="B177" s="21" t="s">
        <v>69</v>
      </c>
      <c r="C177" s="15">
        <v>6</v>
      </c>
      <c r="D177" s="18">
        <v>125</v>
      </c>
      <c r="E177" s="18">
        <f t="shared" si="83"/>
        <v>750</v>
      </c>
      <c r="F177" s="15">
        <v>6</v>
      </c>
      <c r="G177" s="18">
        <v>125</v>
      </c>
      <c r="H177" s="18">
        <f t="shared" ref="H177:H178" si="84">F177*G177</f>
        <v>750</v>
      </c>
      <c r="I177" s="22" t="s">
        <v>79</v>
      </c>
      <c r="J177" s="22" t="s">
        <v>79</v>
      </c>
      <c r="K177" s="18">
        <f t="shared" ref="K177:K178" si="85">H177*(1-L177)</f>
        <v>750</v>
      </c>
      <c r="L177" s="19">
        <v>0</v>
      </c>
      <c r="M177" s="18">
        <f t="shared" ref="M177:M178" si="86">H177-K177</f>
        <v>0</v>
      </c>
      <c r="N177" s="23" t="s">
        <v>79</v>
      </c>
      <c r="O177" s="71" t="s">
        <v>131</v>
      </c>
    </row>
    <row r="178" spans="1:15" ht="65" customHeight="1" thickBot="1" x14ac:dyDescent="0.25">
      <c r="A178" s="72">
        <v>3</v>
      </c>
      <c r="B178" s="82" t="s">
        <v>70</v>
      </c>
      <c r="C178" s="73">
        <v>1</v>
      </c>
      <c r="D178" s="74">
        <v>123.5</v>
      </c>
      <c r="E178" s="74">
        <f t="shared" si="83"/>
        <v>123.5</v>
      </c>
      <c r="F178" s="73">
        <v>1</v>
      </c>
      <c r="G178" s="74">
        <v>123.5</v>
      </c>
      <c r="H178" s="74">
        <f t="shared" si="84"/>
        <v>123.5</v>
      </c>
      <c r="I178" s="75" t="s">
        <v>79</v>
      </c>
      <c r="J178" s="75" t="s">
        <v>79</v>
      </c>
      <c r="K178" s="74">
        <f t="shared" si="85"/>
        <v>123.5</v>
      </c>
      <c r="L178" s="76">
        <v>0</v>
      </c>
      <c r="M178" s="74">
        <f t="shared" si="86"/>
        <v>0</v>
      </c>
      <c r="N178" s="77" t="s">
        <v>79</v>
      </c>
      <c r="O178" s="78" t="s">
        <v>70</v>
      </c>
    </row>
    <row r="179" spans="1:15" s="5" customFormat="1" ht="18" customHeight="1" thickBot="1" x14ac:dyDescent="0.25">
      <c r="A179" s="112" t="s">
        <v>15</v>
      </c>
      <c r="B179" s="113"/>
      <c r="C179" s="113"/>
      <c r="D179" s="114"/>
      <c r="E179" s="24">
        <f>SUM(E176:E178)</f>
        <v>897.16</v>
      </c>
      <c r="F179" s="25"/>
      <c r="G179" s="26"/>
      <c r="H179" s="27">
        <f>SUM(H176:H178)</f>
        <v>897.16</v>
      </c>
      <c r="I179" s="115"/>
      <c r="J179" s="116"/>
      <c r="K179" s="28">
        <f>SUM(K176:K178)</f>
        <v>893.61099999999999</v>
      </c>
      <c r="L179" s="28"/>
      <c r="M179" s="28">
        <f>SUM(M176:M178)</f>
        <v>3.5489999999999995</v>
      </c>
      <c r="N179"/>
    </row>
    <row r="180" spans="1:15" s="5" customFormat="1" ht="18" customHeight="1" thickBot="1" x14ac:dyDescent="0.25">
      <c r="A180" s="117" t="s">
        <v>16</v>
      </c>
      <c r="B180" s="118"/>
      <c r="C180" s="118"/>
      <c r="D180" s="119"/>
      <c r="E180" s="29">
        <v>49.69</v>
      </c>
      <c r="F180" s="30"/>
      <c r="G180" s="31"/>
      <c r="H180" s="29">
        <v>49.69</v>
      </c>
      <c r="I180" s="120"/>
      <c r="J180" s="121"/>
      <c r="K180" s="32">
        <f>0.055385884*K179</f>
        <v>49.493435187124</v>
      </c>
      <c r="L180" s="32"/>
      <c r="M180" s="32">
        <f>H180-K180</f>
        <v>0.19656481287599803</v>
      </c>
      <c r="N180"/>
    </row>
    <row r="181" spans="1:15" s="5" customFormat="1" ht="18" customHeight="1" thickBot="1" x14ac:dyDescent="0.25">
      <c r="A181" s="117" t="s">
        <v>14</v>
      </c>
      <c r="B181" s="118"/>
      <c r="C181" s="118"/>
      <c r="D181" s="119"/>
      <c r="E181" s="33">
        <f>SUM(E179:E180)</f>
        <v>946.84999999999991</v>
      </c>
      <c r="F181" s="34"/>
      <c r="G181" s="35"/>
      <c r="H181" s="33">
        <f>SUM(H179,H180)</f>
        <v>946.84999999999991</v>
      </c>
      <c r="I181" s="122"/>
      <c r="J181" s="123"/>
      <c r="K181" s="36">
        <f>SUM(K179:K180)</f>
        <v>943.10443518712395</v>
      </c>
      <c r="L181" s="36"/>
      <c r="M181" s="36">
        <f>SUM(M179:M180)</f>
        <v>3.7455648128759975</v>
      </c>
      <c r="N181"/>
    </row>
    <row r="182" spans="1:15" ht="12.75" customHeight="1" x14ac:dyDescent="0.2">
      <c r="A182" s="140"/>
      <c r="B182" s="14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4" spans="1:15" x14ac:dyDescent="0.2">
      <c r="B184" s="141" t="s">
        <v>17</v>
      </c>
      <c r="C184" s="142"/>
      <c r="D184" s="143"/>
      <c r="E184" s="147">
        <f>E181+E170+E147+E126+E110+E100+E88+E76+E65+E56+E47+E38+E27+E16</f>
        <v>44947.832000000002</v>
      </c>
    </row>
    <row r="185" spans="1:15" ht="17" thickBot="1" x14ac:dyDescent="0.25">
      <c r="B185" s="144"/>
      <c r="C185" s="145"/>
      <c r="D185" s="146"/>
      <c r="E185" s="148"/>
    </row>
    <row r="187" spans="1:15" x14ac:dyDescent="0.2">
      <c r="B187" s="141" t="s">
        <v>18</v>
      </c>
      <c r="C187" s="142"/>
      <c r="D187" s="143"/>
      <c r="E187" s="147">
        <f>H181+H170+H147+H126+H110+H100+H88+H76+H65+H56+H47+H38+H27+H16</f>
        <v>44009.531999999999</v>
      </c>
    </row>
    <row r="188" spans="1:15" ht="17" thickBot="1" x14ac:dyDescent="0.25">
      <c r="B188" s="144"/>
      <c r="C188" s="145"/>
      <c r="D188" s="146"/>
      <c r="E188" s="148"/>
    </row>
    <row r="190" spans="1:15" x14ac:dyDescent="0.2">
      <c r="B190" s="141" t="s">
        <v>19</v>
      </c>
      <c r="C190" s="142"/>
      <c r="D190" s="143"/>
      <c r="E190" s="147">
        <f>K181+K170+K147+K126+K110+K100+K88+K76+K65+K56+K47+K38+K27+K16</f>
        <v>38966.631829214799</v>
      </c>
    </row>
    <row r="191" spans="1:15" ht="17" thickBot="1" x14ac:dyDescent="0.25">
      <c r="B191" s="144"/>
      <c r="C191" s="145"/>
      <c r="D191" s="146"/>
      <c r="E191" s="148"/>
      <c r="I191" s="8"/>
      <c r="J191" s="8"/>
      <c r="K191" s="8"/>
      <c r="L191" s="8"/>
    </row>
    <row r="192" spans="1:15" ht="17" thickBot="1" x14ac:dyDescent="0.25">
      <c r="I192" s="8"/>
      <c r="J192" s="8"/>
      <c r="K192" s="8"/>
      <c r="L192" s="8"/>
    </row>
    <row r="193" spans="2:5" x14ac:dyDescent="0.2">
      <c r="B193" s="141" t="s">
        <v>20</v>
      </c>
      <c r="C193" s="142"/>
      <c r="D193" s="143"/>
      <c r="E193" s="147">
        <f>M181+M170+M147+M126+M110+M100+M88+M76+M65+M56+M47+M38+M27+M16</f>
        <v>5042.9001707852003</v>
      </c>
    </row>
    <row r="194" spans="2:5" ht="17" thickBot="1" x14ac:dyDescent="0.25">
      <c r="B194" s="144"/>
      <c r="C194" s="145"/>
      <c r="D194" s="146"/>
      <c r="E194" s="148"/>
    </row>
  </sheetData>
  <mergeCells count="267">
    <mergeCell ref="B193:D194"/>
    <mergeCell ref="E193:E194"/>
    <mergeCell ref="B184:D185"/>
    <mergeCell ref="B187:D188"/>
    <mergeCell ref="A19:O19"/>
    <mergeCell ref="A20:A21"/>
    <mergeCell ref="B20:B21"/>
    <mergeCell ref="C20:E20"/>
    <mergeCell ref="F20:H20"/>
    <mergeCell ref="I20:I21"/>
    <mergeCell ref="J20:J21"/>
    <mergeCell ref="K20:K21"/>
    <mergeCell ref="L20:L21"/>
    <mergeCell ref="M20:M21"/>
    <mergeCell ref="N20:N21"/>
    <mergeCell ref="O20:O21"/>
    <mergeCell ref="B190:D191"/>
    <mergeCell ref="E190:E191"/>
    <mergeCell ref="A1:E1"/>
    <mergeCell ref="A2:E2"/>
    <mergeCell ref="A3:E3"/>
    <mergeCell ref="A4:E4"/>
    <mergeCell ref="A5:E5"/>
    <mergeCell ref="E184:E185"/>
    <mergeCell ref="E187:E188"/>
    <mergeCell ref="A26:D26"/>
    <mergeCell ref="A27:D27"/>
    <mergeCell ref="A30:O30"/>
    <mergeCell ref="A31:A32"/>
    <mergeCell ref="B31:B32"/>
    <mergeCell ref="C31:E31"/>
    <mergeCell ref="F31:H31"/>
    <mergeCell ref="A182:B182"/>
    <mergeCell ref="F9:H9"/>
    <mergeCell ref="A9:A10"/>
    <mergeCell ref="A8:O8"/>
    <mergeCell ref="C9:E9"/>
    <mergeCell ref="B9:B10"/>
    <mergeCell ref="A14:D14"/>
    <mergeCell ref="I14:J14"/>
    <mergeCell ref="L9:L10"/>
    <mergeCell ref="O9:O10"/>
    <mergeCell ref="I9:I10"/>
    <mergeCell ref="J9:J10"/>
    <mergeCell ref="K9:K10"/>
    <mergeCell ref="M9:M10"/>
    <mergeCell ref="N9:N10"/>
    <mergeCell ref="I27:J27"/>
    <mergeCell ref="A15:D15"/>
    <mergeCell ref="I15:J15"/>
    <mergeCell ref="A16:D16"/>
    <mergeCell ref="I16:J16"/>
    <mergeCell ref="A25:D25"/>
    <mergeCell ref="I25:J25"/>
    <mergeCell ref="I26:J26"/>
    <mergeCell ref="G4:H5"/>
    <mergeCell ref="N31:N32"/>
    <mergeCell ref="O31:O32"/>
    <mergeCell ref="A36:D36"/>
    <mergeCell ref="I36:J36"/>
    <mergeCell ref="A37:D37"/>
    <mergeCell ref="I37:J37"/>
    <mergeCell ref="I31:I32"/>
    <mergeCell ref="J31:J32"/>
    <mergeCell ref="K31:K32"/>
    <mergeCell ref="L31:L32"/>
    <mergeCell ref="M31:M32"/>
    <mergeCell ref="A180:D180"/>
    <mergeCell ref="I180:J180"/>
    <mergeCell ref="A181:D181"/>
    <mergeCell ref="I181:J181"/>
    <mergeCell ref="A38:D38"/>
    <mergeCell ref="I38:J38"/>
    <mergeCell ref="A173:O173"/>
    <mergeCell ref="A174:A175"/>
    <mergeCell ref="B174:B175"/>
    <mergeCell ref="C174:E174"/>
    <mergeCell ref="F174:H174"/>
    <mergeCell ref="I174:I175"/>
    <mergeCell ref="J174:J175"/>
    <mergeCell ref="K174:K175"/>
    <mergeCell ref="L174:L175"/>
    <mergeCell ref="M174:M175"/>
    <mergeCell ref="N174:N175"/>
    <mergeCell ref="O174:O175"/>
    <mergeCell ref="A129:O129"/>
    <mergeCell ref="A130:A131"/>
    <mergeCell ref="N130:N131"/>
    <mergeCell ref="O130:O131"/>
    <mergeCell ref="B130:B131"/>
    <mergeCell ref="C130:E130"/>
    <mergeCell ref="F130:H130"/>
    <mergeCell ref="I130:I131"/>
    <mergeCell ref="J130:J131"/>
    <mergeCell ref="A179:D179"/>
    <mergeCell ref="I179:J179"/>
    <mergeCell ref="A145:D145"/>
    <mergeCell ref="I145:J145"/>
    <mergeCell ref="A146:D146"/>
    <mergeCell ref="I146:J146"/>
    <mergeCell ref="A147:D147"/>
    <mergeCell ref="I147:J147"/>
    <mergeCell ref="K130:K131"/>
    <mergeCell ref="L130:L131"/>
    <mergeCell ref="M130:M131"/>
    <mergeCell ref="A168:D168"/>
    <mergeCell ref="I168:J168"/>
    <mergeCell ref="A169:D169"/>
    <mergeCell ref="I169:J169"/>
    <mergeCell ref="A170:D170"/>
    <mergeCell ref="I170:J170"/>
    <mergeCell ref="A150:O150"/>
    <mergeCell ref="A151:A152"/>
    <mergeCell ref="B151:B152"/>
    <mergeCell ref="C151:E151"/>
    <mergeCell ref="F151:H151"/>
    <mergeCell ref="I151:I152"/>
    <mergeCell ref="J151:J152"/>
    <mergeCell ref="K151:K152"/>
    <mergeCell ref="L151:L152"/>
    <mergeCell ref="M151:M152"/>
    <mergeCell ref="N151:N152"/>
    <mergeCell ref="O151:O152"/>
    <mergeCell ref="A108:D108"/>
    <mergeCell ref="I108:J108"/>
    <mergeCell ref="A109:D109"/>
    <mergeCell ref="I109:J109"/>
    <mergeCell ref="A110:D110"/>
    <mergeCell ref="I110:J110"/>
    <mergeCell ref="A103:O103"/>
    <mergeCell ref="A104:A105"/>
    <mergeCell ref="B104:B105"/>
    <mergeCell ref="C104:E104"/>
    <mergeCell ref="F104:H104"/>
    <mergeCell ref="I104:I105"/>
    <mergeCell ref="J104:J105"/>
    <mergeCell ref="K104:K105"/>
    <mergeCell ref="L104:L105"/>
    <mergeCell ref="M104:M105"/>
    <mergeCell ref="N104:N105"/>
    <mergeCell ref="O104:O105"/>
    <mergeCell ref="A124:D124"/>
    <mergeCell ref="I124:J124"/>
    <mergeCell ref="A125:D125"/>
    <mergeCell ref="I125:J125"/>
    <mergeCell ref="A126:D126"/>
    <mergeCell ref="I126:J126"/>
    <mergeCell ref="A113:O113"/>
    <mergeCell ref="A114:A115"/>
    <mergeCell ref="B114:B115"/>
    <mergeCell ref="C114:E114"/>
    <mergeCell ref="F114:H114"/>
    <mergeCell ref="I114:I115"/>
    <mergeCell ref="J114:J115"/>
    <mergeCell ref="K114:K115"/>
    <mergeCell ref="L114:L115"/>
    <mergeCell ref="M114:M115"/>
    <mergeCell ref="N114:N115"/>
    <mergeCell ref="O114:O115"/>
    <mergeCell ref="A86:D86"/>
    <mergeCell ref="I86:J86"/>
    <mergeCell ref="A87:D87"/>
    <mergeCell ref="I87:J87"/>
    <mergeCell ref="A88:D88"/>
    <mergeCell ref="I88:J88"/>
    <mergeCell ref="A79:O79"/>
    <mergeCell ref="A80:A81"/>
    <mergeCell ref="B80:B81"/>
    <mergeCell ref="C80:E80"/>
    <mergeCell ref="F80:H80"/>
    <mergeCell ref="I80:I81"/>
    <mergeCell ref="J80:J81"/>
    <mergeCell ref="K80:K81"/>
    <mergeCell ref="L80:L81"/>
    <mergeCell ref="M80:M81"/>
    <mergeCell ref="N80:N81"/>
    <mergeCell ref="O80:O81"/>
    <mergeCell ref="A98:D98"/>
    <mergeCell ref="I98:J98"/>
    <mergeCell ref="A99:D99"/>
    <mergeCell ref="I99:J99"/>
    <mergeCell ref="A100:D100"/>
    <mergeCell ref="I100:J100"/>
    <mergeCell ref="A91:O91"/>
    <mergeCell ref="A92:A93"/>
    <mergeCell ref="B92:B93"/>
    <mergeCell ref="C92:E92"/>
    <mergeCell ref="F92:H92"/>
    <mergeCell ref="I92:I93"/>
    <mergeCell ref="J92:J93"/>
    <mergeCell ref="K92:K93"/>
    <mergeCell ref="L92:L93"/>
    <mergeCell ref="M92:M93"/>
    <mergeCell ref="N92:N93"/>
    <mergeCell ref="O92:O93"/>
    <mergeCell ref="A63:D63"/>
    <mergeCell ref="I63:J63"/>
    <mergeCell ref="A64:D64"/>
    <mergeCell ref="I64:J64"/>
    <mergeCell ref="A65:D65"/>
    <mergeCell ref="I65:J65"/>
    <mergeCell ref="A59:O59"/>
    <mergeCell ref="A60:A61"/>
    <mergeCell ref="B60:B61"/>
    <mergeCell ref="C60:E60"/>
    <mergeCell ref="F60:H60"/>
    <mergeCell ref="I60:I61"/>
    <mergeCell ref="J60:J61"/>
    <mergeCell ref="K60:K61"/>
    <mergeCell ref="L60:L61"/>
    <mergeCell ref="M60:M61"/>
    <mergeCell ref="N60:N61"/>
    <mergeCell ref="O60:O61"/>
    <mergeCell ref="A74:D74"/>
    <mergeCell ref="I74:J74"/>
    <mergeCell ref="A75:D75"/>
    <mergeCell ref="I75:J75"/>
    <mergeCell ref="A76:D76"/>
    <mergeCell ref="I76:J76"/>
    <mergeCell ref="A68:O68"/>
    <mergeCell ref="A69:A70"/>
    <mergeCell ref="B69:B70"/>
    <mergeCell ref="C69:E69"/>
    <mergeCell ref="F69:H69"/>
    <mergeCell ref="I69:I70"/>
    <mergeCell ref="J69:J70"/>
    <mergeCell ref="K69:K70"/>
    <mergeCell ref="L69:L70"/>
    <mergeCell ref="M69:M70"/>
    <mergeCell ref="N69:N70"/>
    <mergeCell ref="O69:O70"/>
    <mergeCell ref="A45:D45"/>
    <mergeCell ref="I45:J45"/>
    <mergeCell ref="A46:D46"/>
    <mergeCell ref="I46:J46"/>
    <mergeCell ref="A47:D47"/>
    <mergeCell ref="I47:J47"/>
    <mergeCell ref="A41:O41"/>
    <mergeCell ref="A42:A43"/>
    <mergeCell ref="B42:B43"/>
    <mergeCell ref="C42:E42"/>
    <mergeCell ref="F42:H42"/>
    <mergeCell ref="I42:I43"/>
    <mergeCell ref="J42:J43"/>
    <mergeCell ref="K42:K43"/>
    <mergeCell ref="L42:L43"/>
    <mergeCell ref="M42:M43"/>
    <mergeCell ref="N42:N43"/>
    <mergeCell ref="O42:O43"/>
    <mergeCell ref="A54:D54"/>
    <mergeCell ref="I54:J54"/>
    <mergeCell ref="A55:D55"/>
    <mergeCell ref="I55:J55"/>
    <mergeCell ref="A56:D56"/>
    <mergeCell ref="I56:J56"/>
    <mergeCell ref="A50:O50"/>
    <mergeCell ref="A51:A52"/>
    <mergeCell ref="B51:B52"/>
    <mergeCell ref="C51:E51"/>
    <mergeCell ref="F51:H51"/>
    <mergeCell ref="I51:I52"/>
    <mergeCell ref="J51:J52"/>
    <mergeCell ref="K51:K52"/>
    <mergeCell ref="L51:L52"/>
    <mergeCell ref="M51:M52"/>
    <mergeCell ref="N51:N52"/>
    <mergeCell ref="O51:O52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2025-09-19T15:02:03Z</dcterms:modified>
  <cp:category/>
  <cp:contentStatus/>
</cp:coreProperties>
</file>