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787200.12867-00 - Interstate Gourmet Coffee/"/>
    </mc:Choice>
  </mc:AlternateContent>
  <xr:revisionPtr revIDLastSave="0" documentId="13_ncr:1_{FDF96EE7-7926-8C40-8B91-DEEB493E1519}" xr6:coauthVersionLast="47" xr6:coauthVersionMax="47" xr10:uidLastSave="{00000000-0000-0000-0000-000000000000}"/>
  <bookViews>
    <workbookView xWindow="17480" yWindow="2240" windowWidth="3032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0" i="1" l="1"/>
  <c r="Q18" i="1"/>
  <c r="Q16" i="1"/>
  <c r="Q14" i="1"/>
  <c r="E31" i="1"/>
  <c r="E28" i="1"/>
  <c r="E21" i="1"/>
  <c r="H19" i="1"/>
  <c r="E19" i="1"/>
  <c r="H20" i="1"/>
  <c r="E20" i="1"/>
  <c r="H22" i="1"/>
  <c r="E22" i="1"/>
  <c r="H11" i="1"/>
  <c r="E13" i="1"/>
  <c r="H13" i="1"/>
  <c r="E14" i="1"/>
  <c r="H14" i="1"/>
  <c r="E15" i="1"/>
  <c r="H15" i="1"/>
  <c r="E16" i="1"/>
  <c r="H16" i="1"/>
  <c r="E17" i="1"/>
  <c r="H17" i="1"/>
  <c r="E18" i="1"/>
  <c r="H18" i="1"/>
  <c r="H21" i="1"/>
  <c r="E11" i="1"/>
  <c r="K19" i="1" l="1"/>
  <c r="M19" i="1" s="1"/>
  <c r="K20" i="1"/>
  <c r="M20" i="1" s="1"/>
  <c r="K21" i="1"/>
  <c r="M21" i="1" s="1"/>
  <c r="K18" i="1"/>
  <c r="M18" i="1" s="1"/>
  <c r="K17" i="1"/>
  <c r="M17" i="1" s="1"/>
  <c r="K16" i="1"/>
  <c r="M16" i="1" s="1"/>
  <c r="K14" i="1"/>
  <c r="M14" i="1" s="1"/>
  <c r="K13" i="1"/>
  <c r="M13" i="1" s="1"/>
  <c r="K22" i="1"/>
  <c r="M22" i="1" s="1"/>
  <c r="K15" i="1"/>
  <c r="M15" i="1" s="1"/>
  <c r="K11" i="1"/>
  <c r="E12" i="1" l="1"/>
  <c r="H12" i="1"/>
  <c r="K12" i="1" s="1"/>
  <c r="E23" i="1" l="1"/>
  <c r="E25" i="1" s="1"/>
  <c r="M12" i="1"/>
  <c r="H23" i="1" l="1"/>
  <c r="H25" i="1" s="1"/>
  <c r="K23" i="1"/>
  <c r="K25" i="1" s="1"/>
  <c r="M11" i="1" l="1"/>
  <c r="M23" i="1" s="1"/>
  <c r="M25" i="1" s="1"/>
</calcChain>
</file>

<file path=xl/sharedStrings.xml><?xml version="1.0" encoding="utf-8"?>
<sst xmlns="http://schemas.openxmlformats.org/spreadsheetml/2006/main" count="90" uniqueCount="51">
  <si>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</si>
  <si>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</si>
  <si>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</si>
  <si>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</si>
  <si>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</si>
  <si>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</si>
  <si>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</si>
  <si>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</si>
  <si>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</si>
  <si>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</si>
  <si>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</si>
  <si>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</si>
  <si>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</si>
  <si>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</si>
  <si>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</si>
  <si>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</si>
  <si>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</si>
  <si>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</si>
  <si>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</si>
  <si>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</si>
  <si>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INTERSTATE GOURMET COFFEE</t>
  </si>
  <si>
    <t xml:space="preserve">LSG MATTER #: 787200.12867-00 </t>
  </si>
  <si>
    <t>CLAIM #: F0Q6086</t>
  </si>
  <si>
    <t>DATE OF LOSS: 10/23/2025</t>
  </si>
  <si>
    <t>CAUSE OF LOSS: VEHICLE ACCIDENT</t>
  </si>
  <si>
    <t>FLATBED TRUCK WITH CRANE</t>
  </si>
  <si>
    <t>BUCKET TRUCK</t>
  </si>
  <si>
    <t>SAFETY POLICE DETAIL</t>
  </si>
  <si>
    <t xml:space="preserve">THE USE OF A BUCKET TRUCK FOR ONE DAY OF WORK FOR INSTALLATION. </t>
  </si>
  <si>
    <t xml:space="preserve">FLATBED TRUCK WITH CRANE ON IT TO ASSIST IN THE REMOVAL, TRANSPORT, AND INSTALLATION. </t>
  </si>
  <si>
    <t>OVERHEAD (20%)</t>
  </si>
  <si>
    <t>PROFIT (10%)</t>
  </si>
  <si>
    <t>N/A</t>
  </si>
  <si>
    <t>MATERIALS: LIGHT POLE</t>
  </si>
  <si>
    <t>MATERIALS: MISC ELEC SUPPLIES</t>
  </si>
  <si>
    <t xml:space="preserve">MISCELLANEOUS ELECTRICAL SUPPLY, HARDWARE, WIRING, SPLICING MATERIALS, ETC. </t>
  </si>
  <si>
    <t>OVERHEAD OF 20 %</t>
  </si>
  <si>
    <t>PROFIT OF 10 %</t>
  </si>
  <si>
    <t xml:space="preserve">LABOR HOURS FOR ONE (1) ELECTRICIAN FOR EIGHT (8) HOURS OF LABOR. </t>
  </si>
  <si>
    <t>SAFETY FLASHING ARROW BOARD / OTHER</t>
  </si>
  <si>
    <t xml:space="preserve">SAFETY FLASHING ARROW BOARD, REFLECTIVE BARRIER DEVICES, WARNING SIGNS, STANDS TO MUTCD (MASSACHUSETTS TRAFFIC CONTROL DEVICES) REQUIREMENTS. </t>
  </si>
  <si>
    <t>LABOR (ELECTRICIAN)</t>
  </si>
  <si>
    <t>LABOR (EQUIPMENT OPERATOR)</t>
  </si>
  <si>
    <t>LABOR (LABORER)</t>
  </si>
  <si>
    <t>LABOR (PROJECT MANAGER) &amp; VEHICLE</t>
  </si>
  <si>
    <t>LABOR HOURS FOR ONE (1) EQUIPMENT OPERATOR TO PERFORM REPLACEMENT FOR EIGHT (8) HOURS.</t>
  </si>
  <si>
    <t>LABOR HOURS FOR ONE (1) LABORER TO ASSIST WITH THIS PROJECT FOR EIGHT (8) HOURS.</t>
  </si>
  <si>
    <t>CHARGE FOR ONE (1) PROJECT MANAGER AND HIS VEHICLE. PER JOB</t>
  </si>
  <si>
    <t>POLICE DETAIL AND CRUISER TO LIMIT ACCESS AND PROTECT WORKERS</t>
  </si>
  <si>
    <t>DECORATIVE LIGHT AND LIGHT POLE ASSEMBLY TO CITY SPECIFICATIONS (INCLUDING FREIGHT CHARGES)</t>
  </si>
  <si>
    <t>BARTLETT CONSOLIDATED LLC (800-562-7474) COST PRESENTED TOTALING $13,849.44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</si>
</sst>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2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  <xf numFmtId="0" fontId="7" fillId="0" borderId="0" xfId="6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9"/>
  <sheetViews>
    <sheetView tabSelected="1" topLeftCell="A14" zoomScale="80" zoomScaleNormal="80" zoomScalePageLayoutView="90" workbookViewId="0">
      <selection activeCell="Q21" sqref="Q21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6" width="8.83203125" style="3"/>
    <col min="17" max="17" width="12.6640625" style="3" bestFit="1" customWidth="1"/>
    <col min="18" max="18" width="9.6640625" style="3" bestFit="1" customWidth="1"/>
    <col min="19" max="16384" width="8.83203125" style="3"/>
  </cols>
  <sheetData>
    <row r="1" spans="1:18" ht="15.75" customHeight="1" x14ac:dyDescent="0.2">
      <c r="A1" s="68" t="s">
        <v>20</v>
      </c>
      <c r="B1" s="69"/>
      <c r="C1" s="69"/>
      <c r="D1" s="69"/>
      <c r="E1" s="7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71" t="s">
        <v>21</v>
      </c>
      <c r="B2" s="72"/>
      <c r="C2" s="72"/>
      <c r="D2" s="72"/>
      <c r="E2" s="7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71" t="s">
        <v>22</v>
      </c>
      <c r="B3" s="72"/>
      <c r="C3" s="72"/>
      <c r="D3" s="72"/>
      <c r="E3" s="7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71" t="s">
        <v>23</v>
      </c>
      <c r="B4" s="72"/>
      <c r="C4" s="72"/>
      <c r="D4" s="72"/>
      <c r="E4" s="7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74" t="s">
        <v>24</v>
      </c>
      <c r="B5" s="75"/>
      <c r="C5" s="75"/>
      <c r="D5" s="75"/>
      <c r="E5" s="76"/>
      <c r="F5" s="1"/>
      <c r="G5"/>
      <c r="H5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83" t="s">
        <v>50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5"/>
    </row>
    <row r="9" spans="1:18" ht="24" customHeight="1" x14ac:dyDescent="0.2">
      <c r="A9" s="81" t="s">
        <v>0</v>
      </c>
      <c r="B9" s="86" t="s">
        <v>1</v>
      </c>
      <c r="C9" s="78" t="s">
        <v>2</v>
      </c>
      <c r="D9" s="79"/>
      <c r="E9" s="80"/>
      <c r="F9" s="78" t="s">
        <v>3</v>
      </c>
      <c r="G9" s="79"/>
      <c r="H9" s="80"/>
      <c r="I9" s="93" t="s">
        <v>4</v>
      </c>
      <c r="J9" s="93" t="s">
        <v>5</v>
      </c>
      <c r="K9" s="93" t="s">
        <v>6</v>
      </c>
      <c r="L9" s="93" t="s">
        <v>7</v>
      </c>
      <c r="M9" s="93" t="s">
        <v>8</v>
      </c>
      <c r="N9" s="93" t="s">
        <v>9</v>
      </c>
      <c r="O9" s="81" t="s">
        <v>10</v>
      </c>
    </row>
    <row r="10" spans="1:18" s="4" customFormat="1" ht="24" customHeight="1" thickBot="1" x14ac:dyDescent="0.25">
      <c r="A10" s="82"/>
      <c r="B10" s="87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94"/>
      <c r="J10" s="94"/>
      <c r="K10" s="94"/>
      <c r="L10" s="94"/>
      <c r="M10" s="94"/>
      <c r="N10" s="94"/>
      <c r="O10" s="82"/>
    </row>
    <row r="11" spans="1:18" s="4" customFormat="1" ht="65" customHeight="1" x14ac:dyDescent="0.2">
      <c r="A11" s="37">
        <v>1</v>
      </c>
      <c r="B11" s="38" t="s">
        <v>41</v>
      </c>
      <c r="C11" s="39">
        <v>8</v>
      </c>
      <c r="D11" s="40">
        <v>135</v>
      </c>
      <c r="E11" s="40">
        <f>C11*D11</f>
        <v>1080</v>
      </c>
      <c r="F11" s="39">
        <v>8</v>
      </c>
      <c r="G11" s="40">
        <v>135</v>
      </c>
      <c r="H11" s="40">
        <f>F11*G11</f>
        <v>1080</v>
      </c>
      <c r="I11" s="41" t="s">
        <v>32</v>
      </c>
      <c r="J11" s="41" t="s">
        <v>32</v>
      </c>
      <c r="K11" s="40">
        <f>H11*(1-L11)</f>
        <v>1080</v>
      </c>
      <c r="L11" s="42">
        <v>0</v>
      </c>
      <c r="M11" s="40">
        <f>H11-K11</f>
        <v>0</v>
      </c>
      <c r="N11" s="43" t="s">
        <v>32</v>
      </c>
      <c r="O11" s="44" t="s">
        <v>38</v>
      </c>
      <c r="R11" s="26"/>
    </row>
    <row r="12" spans="1:18" s="4" customFormat="1" ht="65" customHeight="1" x14ac:dyDescent="0.2">
      <c r="A12" s="45">
        <v>2</v>
      </c>
      <c r="B12" s="33" t="s">
        <v>42</v>
      </c>
      <c r="C12" s="27">
        <v>8</v>
      </c>
      <c r="D12" s="34">
        <v>95</v>
      </c>
      <c r="E12" s="34">
        <f t="shared" ref="E12:E21" si="0">C12*D12</f>
        <v>760</v>
      </c>
      <c r="F12" s="27">
        <v>8</v>
      </c>
      <c r="G12" s="34">
        <v>95</v>
      </c>
      <c r="H12" s="34">
        <f t="shared" ref="H12" si="1">F12*G12</f>
        <v>760</v>
      </c>
      <c r="I12" s="35" t="s">
        <v>32</v>
      </c>
      <c r="J12" s="35" t="s">
        <v>32</v>
      </c>
      <c r="K12" s="29">
        <f t="shared" ref="K12:K21" si="2">H12*(1-L12)</f>
        <v>760</v>
      </c>
      <c r="L12" s="31">
        <v>0</v>
      </c>
      <c r="M12" s="29">
        <f t="shared" ref="M12:M21" si="3">H12-K12</f>
        <v>0</v>
      </c>
      <c r="N12" s="36" t="s">
        <v>32</v>
      </c>
      <c r="O12" s="46" t="s">
        <v>45</v>
      </c>
    </row>
    <row r="13" spans="1:18" s="4" customFormat="1" ht="65" customHeight="1" x14ac:dyDescent="0.2">
      <c r="A13" s="47">
        <v>3</v>
      </c>
      <c r="B13" s="28" t="s">
        <v>43</v>
      </c>
      <c r="C13" s="27">
        <v>8</v>
      </c>
      <c r="D13" s="29">
        <v>90</v>
      </c>
      <c r="E13" s="29">
        <f t="shared" si="0"/>
        <v>720</v>
      </c>
      <c r="F13" s="27">
        <v>8</v>
      </c>
      <c r="G13" s="29">
        <v>90</v>
      </c>
      <c r="H13" s="29">
        <f>F13*G13</f>
        <v>720</v>
      </c>
      <c r="I13" s="30" t="s">
        <v>32</v>
      </c>
      <c r="J13" s="30" t="s">
        <v>32</v>
      </c>
      <c r="K13" s="29">
        <f t="shared" si="2"/>
        <v>720</v>
      </c>
      <c r="L13" s="31">
        <v>0</v>
      </c>
      <c r="M13" s="29">
        <f t="shared" si="3"/>
        <v>0</v>
      </c>
      <c r="N13" s="32" t="s">
        <v>32</v>
      </c>
      <c r="O13" s="48" t="s">
        <v>46</v>
      </c>
    </row>
    <row r="14" spans="1:18" s="4" customFormat="1" ht="65" customHeight="1" x14ac:dyDescent="0.2">
      <c r="A14" s="45">
        <v>4</v>
      </c>
      <c r="B14" s="33" t="s">
        <v>44</v>
      </c>
      <c r="C14" s="27">
        <v>1</v>
      </c>
      <c r="D14" s="34">
        <v>245</v>
      </c>
      <c r="E14" s="34">
        <f t="shared" si="0"/>
        <v>245</v>
      </c>
      <c r="F14" s="27">
        <v>1</v>
      </c>
      <c r="G14" s="34">
        <v>245</v>
      </c>
      <c r="H14" s="34">
        <f t="shared" ref="H14" si="4">F14*G14</f>
        <v>245</v>
      </c>
      <c r="I14" s="35" t="s">
        <v>32</v>
      </c>
      <c r="J14" s="35" t="s">
        <v>32</v>
      </c>
      <c r="K14" s="29">
        <f t="shared" si="2"/>
        <v>245</v>
      </c>
      <c r="L14" s="31">
        <v>0</v>
      </c>
      <c r="M14" s="29">
        <f t="shared" si="3"/>
        <v>0</v>
      </c>
      <c r="N14" s="36" t="s">
        <v>32</v>
      </c>
      <c r="O14" s="46" t="s">
        <v>47</v>
      </c>
      <c r="Q14" s="26">
        <f>SUM(E11:E14)</f>
        <v>2805</v>
      </c>
    </row>
    <row r="15" spans="1:18" s="4" customFormat="1" ht="65" customHeight="1" x14ac:dyDescent="0.2">
      <c r="A15" s="47">
        <v>5</v>
      </c>
      <c r="B15" s="28" t="s">
        <v>25</v>
      </c>
      <c r="C15" s="27">
        <v>8</v>
      </c>
      <c r="D15" s="29">
        <v>140</v>
      </c>
      <c r="E15" s="29">
        <f t="shared" si="0"/>
        <v>1120</v>
      </c>
      <c r="F15" s="27">
        <v>8</v>
      </c>
      <c r="G15" s="29">
        <v>140</v>
      </c>
      <c r="H15" s="29">
        <f>F15*G15</f>
        <v>1120</v>
      </c>
      <c r="I15" s="30" t="s">
        <v>32</v>
      </c>
      <c r="J15" s="30" t="s">
        <v>32</v>
      </c>
      <c r="K15" s="29">
        <f t="shared" si="2"/>
        <v>1120</v>
      </c>
      <c r="L15" s="31">
        <v>0</v>
      </c>
      <c r="M15" s="29">
        <f t="shared" si="3"/>
        <v>0</v>
      </c>
      <c r="N15" s="32" t="s">
        <v>32</v>
      </c>
      <c r="O15" s="48" t="s">
        <v>29</v>
      </c>
    </row>
    <row r="16" spans="1:18" s="4" customFormat="1" ht="65" customHeight="1" x14ac:dyDescent="0.2">
      <c r="A16" s="45">
        <v>6</v>
      </c>
      <c r="B16" s="33" t="s">
        <v>26</v>
      </c>
      <c r="C16" s="27">
        <v>8</v>
      </c>
      <c r="D16" s="34">
        <v>130</v>
      </c>
      <c r="E16" s="34">
        <f t="shared" si="0"/>
        <v>1040</v>
      </c>
      <c r="F16" s="27">
        <v>8</v>
      </c>
      <c r="G16" s="34">
        <v>130</v>
      </c>
      <c r="H16" s="34">
        <f t="shared" ref="H16" si="5">F16*G16</f>
        <v>1040</v>
      </c>
      <c r="I16" s="35" t="s">
        <v>32</v>
      </c>
      <c r="J16" s="35" t="s">
        <v>32</v>
      </c>
      <c r="K16" s="29">
        <f t="shared" si="2"/>
        <v>1040</v>
      </c>
      <c r="L16" s="31">
        <v>0</v>
      </c>
      <c r="M16" s="29">
        <f t="shared" si="3"/>
        <v>0</v>
      </c>
      <c r="N16" s="36" t="s">
        <v>32</v>
      </c>
      <c r="O16" s="46" t="s">
        <v>28</v>
      </c>
      <c r="Q16" s="26">
        <f>SUM(E15:E16)</f>
        <v>2160</v>
      </c>
    </row>
    <row r="17" spans="1:17" s="4" customFormat="1" ht="85" x14ac:dyDescent="0.2">
      <c r="A17" s="47">
        <v>7</v>
      </c>
      <c r="B17" s="28" t="s">
        <v>39</v>
      </c>
      <c r="C17" s="27">
        <v>8</v>
      </c>
      <c r="D17" s="29">
        <v>50</v>
      </c>
      <c r="E17" s="29">
        <f t="shared" si="0"/>
        <v>400</v>
      </c>
      <c r="F17" s="27">
        <v>8</v>
      </c>
      <c r="G17" s="29">
        <v>50</v>
      </c>
      <c r="H17" s="29">
        <f>F17*G17</f>
        <v>400</v>
      </c>
      <c r="I17" s="30" t="s">
        <v>32</v>
      </c>
      <c r="J17" s="30" t="s">
        <v>32</v>
      </c>
      <c r="K17" s="29">
        <f t="shared" si="2"/>
        <v>400</v>
      </c>
      <c r="L17" s="31">
        <v>0</v>
      </c>
      <c r="M17" s="29">
        <f t="shared" si="3"/>
        <v>0</v>
      </c>
      <c r="N17" s="32" t="s">
        <v>32</v>
      </c>
      <c r="O17" s="48" t="s">
        <v>40</v>
      </c>
    </row>
    <row r="18" spans="1:17" s="4" customFormat="1" ht="65" customHeight="1" x14ac:dyDescent="0.2">
      <c r="A18" s="45">
        <v>8</v>
      </c>
      <c r="B18" s="33" t="s">
        <v>27</v>
      </c>
      <c r="C18" s="27">
        <v>1</v>
      </c>
      <c r="D18" s="34">
        <v>592</v>
      </c>
      <c r="E18" s="34">
        <f t="shared" si="0"/>
        <v>592</v>
      </c>
      <c r="F18" s="27">
        <v>1</v>
      </c>
      <c r="G18" s="34">
        <v>592</v>
      </c>
      <c r="H18" s="34">
        <f t="shared" ref="H18" si="6">F18*G18</f>
        <v>592</v>
      </c>
      <c r="I18" s="35" t="s">
        <v>32</v>
      </c>
      <c r="J18" s="35" t="s">
        <v>32</v>
      </c>
      <c r="K18" s="29">
        <f t="shared" si="2"/>
        <v>592</v>
      </c>
      <c r="L18" s="31">
        <v>0</v>
      </c>
      <c r="M18" s="29">
        <f t="shared" si="3"/>
        <v>0</v>
      </c>
      <c r="N18" s="36" t="s">
        <v>32</v>
      </c>
      <c r="O18" s="46" t="s">
        <v>48</v>
      </c>
      <c r="Q18" s="26">
        <f>SUM(E17:E18)</f>
        <v>992</v>
      </c>
    </row>
    <row r="19" spans="1:17" s="4" customFormat="1" ht="65" customHeight="1" x14ac:dyDescent="0.2">
      <c r="A19" s="47">
        <v>9</v>
      </c>
      <c r="B19" s="28" t="s">
        <v>33</v>
      </c>
      <c r="C19" s="27">
        <v>1</v>
      </c>
      <c r="D19" s="29">
        <v>4245</v>
      </c>
      <c r="E19" s="29">
        <f t="shared" si="0"/>
        <v>4245</v>
      </c>
      <c r="F19" s="27">
        <v>1</v>
      </c>
      <c r="G19" s="29">
        <v>4245</v>
      </c>
      <c r="H19" s="29">
        <f>F19*G19</f>
        <v>4245</v>
      </c>
      <c r="I19" s="30" t="s">
        <v>32</v>
      </c>
      <c r="J19" s="30" t="s">
        <v>32</v>
      </c>
      <c r="K19" s="29">
        <f t="shared" si="2"/>
        <v>4245</v>
      </c>
      <c r="L19" s="31">
        <v>0</v>
      </c>
      <c r="M19" s="29">
        <f t="shared" si="3"/>
        <v>0</v>
      </c>
      <c r="N19" s="32" t="s">
        <v>32</v>
      </c>
      <c r="O19" s="48" t="s">
        <v>49</v>
      </c>
    </row>
    <row r="20" spans="1:17" s="4" customFormat="1" ht="65" customHeight="1" x14ac:dyDescent="0.2">
      <c r="A20" s="47">
        <v>10</v>
      </c>
      <c r="B20" s="28" t="s">
        <v>34</v>
      </c>
      <c r="C20" s="27">
        <v>1</v>
      </c>
      <c r="D20" s="29">
        <v>290</v>
      </c>
      <c r="E20" s="29">
        <f t="shared" ref="E20" si="7">C20*D20</f>
        <v>290</v>
      </c>
      <c r="F20" s="27">
        <v>1</v>
      </c>
      <c r="G20" s="29">
        <v>290</v>
      </c>
      <c r="H20" s="29">
        <f>F20*G20</f>
        <v>290</v>
      </c>
      <c r="I20" s="30" t="s">
        <v>32</v>
      </c>
      <c r="J20" s="30" t="s">
        <v>32</v>
      </c>
      <c r="K20" s="29">
        <f t="shared" ref="K20" si="8">H20*(1-L20)</f>
        <v>290</v>
      </c>
      <c r="L20" s="31">
        <v>0</v>
      </c>
      <c r="M20" s="29">
        <f t="shared" ref="M20" si="9">H20-K20</f>
        <v>0</v>
      </c>
      <c r="N20" s="32" t="s">
        <v>32</v>
      </c>
      <c r="O20" s="48" t="s">
        <v>35</v>
      </c>
      <c r="Q20" s="26">
        <f>SUM(E19:E20)</f>
        <v>4535</v>
      </c>
    </row>
    <row r="21" spans="1:17" s="4" customFormat="1" ht="65" customHeight="1" x14ac:dyDescent="0.2">
      <c r="A21" s="47">
        <v>11</v>
      </c>
      <c r="B21" s="28" t="s">
        <v>30</v>
      </c>
      <c r="C21" s="27">
        <v>1</v>
      </c>
      <c r="D21" s="29">
        <v>2098.4</v>
      </c>
      <c r="E21" s="29">
        <f t="shared" si="0"/>
        <v>2098.4</v>
      </c>
      <c r="F21" s="27">
        <v>1</v>
      </c>
      <c r="G21" s="29">
        <v>2098.4</v>
      </c>
      <c r="H21" s="29">
        <f>F21*G21</f>
        <v>2098.4</v>
      </c>
      <c r="I21" s="30" t="s">
        <v>32</v>
      </c>
      <c r="J21" s="30" t="s">
        <v>32</v>
      </c>
      <c r="K21" s="29">
        <f t="shared" si="2"/>
        <v>2098.4</v>
      </c>
      <c r="L21" s="31">
        <v>0</v>
      </c>
      <c r="M21" s="29">
        <f t="shared" si="3"/>
        <v>0</v>
      </c>
      <c r="N21" s="32" t="s">
        <v>32</v>
      </c>
      <c r="O21" s="48" t="s">
        <v>36</v>
      </c>
    </row>
    <row r="22" spans="1:17" s="4" customFormat="1" ht="65" customHeight="1" thickBot="1" x14ac:dyDescent="0.25">
      <c r="A22" s="49">
        <v>12</v>
      </c>
      <c r="B22" s="50" t="s">
        <v>31</v>
      </c>
      <c r="C22" s="51">
        <v>1</v>
      </c>
      <c r="D22" s="52">
        <v>1259.04</v>
      </c>
      <c r="E22" s="52">
        <f t="shared" ref="E22" si="10">C22*D22</f>
        <v>1259.04</v>
      </c>
      <c r="F22" s="51">
        <v>1</v>
      </c>
      <c r="G22" s="52">
        <v>1259.04</v>
      </c>
      <c r="H22" s="52">
        <f t="shared" ref="H22" si="11">F22*G22</f>
        <v>1259.04</v>
      </c>
      <c r="I22" s="53" t="s">
        <v>32</v>
      </c>
      <c r="J22" s="53" t="s">
        <v>32</v>
      </c>
      <c r="K22" s="54">
        <f t="shared" ref="K22" si="12">H22*(1-L22)</f>
        <v>1259.04</v>
      </c>
      <c r="L22" s="55">
        <v>0</v>
      </c>
      <c r="M22" s="54">
        <f t="shared" ref="M22" si="13">H22-K22</f>
        <v>0</v>
      </c>
      <c r="N22" s="56" t="s">
        <v>32</v>
      </c>
      <c r="O22" s="57" t="s">
        <v>37</v>
      </c>
    </row>
    <row r="23" spans="1:17" s="4" customFormat="1" ht="18" customHeight="1" thickBot="1" x14ac:dyDescent="0.25">
      <c r="A23" s="88" t="s">
        <v>14</v>
      </c>
      <c r="B23" s="89"/>
      <c r="C23" s="89"/>
      <c r="D23" s="90"/>
      <c r="E23" s="13">
        <f>SUM(E11:E22)</f>
        <v>13849.439999999999</v>
      </c>
      <c r="F23" s="14"/>
      <c r="G23" s="15"/>
      <c r="H23" s="16">
        <f>SUM(H11:H22)</f>
        <v>13849.439999999999</v>
      </c>
      <c r="I23" s="91"/>
      <c r="J23" s="92"/>
      <c r="K23" s="17">
        <f>SUM(K11:K22)</f>
        <v>13849.439999999999</v>
      </c>
      <c r="L23" s="17"/>
      <c r="M23" s="17">
        <f>SUM(M11:M22)</f>
        <v>0</v>
      </c>
      <c r="N23"/>
    </row>
    <row r="24" spans="1:17" s="4" customFormat="1" ht="18" customHeight="1" x14ac:dyDescent="0.2">
      <c r="A24" s="95" t="s">
        <v>15</v>
      </c>
      <c r="B24" s="96"/>
      <c r="C24" s="96"/>
      <c r="D24" s="97"/>
      <c r="E24" s="18">
        <v>0</v>
      </c>
      <c r="F24" s="19"/>
      <c r="G24" s="20"/>
      <c r="H24" s="18">
        <v>0</v>
      </c>
      <c r="I24" s="98"/>
      <c r="J24" s="99"/>
      <c r="K24" s="21">
        <v>0</v>
      </c>
      <c r="L24" s="21"/>
      <c r="M24" s="21">
        <v>0</v>
      </c>
      <c r="N24"/>
    </row>
    <row r="25" spans="1:17" s="4" customFormat="1" ht="18" customHeight="1" thickBot="1" x14ac:dyDescent="0.25">
      <c r="A25" s="95" t="s">
        <v>13</v>
      </c>
      <c r="B25" s="96"/>
      <c r="C25" s="96"/>
      <c r="D25" s="97"/>
      <c r="E25" s="22">
        <f>SUM(E23:E24)</f>
        <v>13849.439999999999</v>
      </c>
      <c r="F25" s="23"/>
      <c r="G25" s="24"/>
      <c r="H25" s="22">
        <f>SUM(H23,H24)</f>
        <v>13849.439999999999</v>
      </c>
      <c r="I25" s="100"/>
      <c r="J25" s="101"/>
      <c r="K25" s="25">
        <f>SUM(K23:K24)</f>
        <v>13849.439999999999</v>
      </c>
      <c r="L25" s="25"/>
      <c r="M25" s="25">
        <f>SUM(M23:M24)</f>
        <v>0</v>
      </c>
      <c r="N25"/>
      <c r="O25" s="58"/>
    </row>
    <row r="26" spans="1:17" ht="12.75" customHeight="1" x14ac:dyDescent="0.2">
      <c r="A26" s="77"/>
      <c r="B26" s="7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8" spans="1:17" x14ac:dyDescent="0.2">
      <c r="B28" s="59" t="s">
        <v>16</v>
      </c>
      <c r="C28" s="60"/>
      <c r="D28" s="61"/>
      <c r="E28" s="65">
        <f>E25</f>
        <v>13849.439999999999</v>
      </c>
    </row>
    <row r="29" spans="1:17" x14ac:dyDescent="0.2">
      <c r="B29" s="62"/>
      <c r="C29" s="63"/>
      <c r="D29" s="64"/>
      <c r="E29" s="67"/>
    </row>
    <row r="31" spans="1:17" x14ac:dyDescent="0.2">
      <c r="B31" s="59" t="s">
        <v>17</v>
      </c>
      <c r="C31" s="60"/>
      <c r="D31" s="61"/>
      <c r="E31" s="65">
        <f>H25</f>
        <v>13849.439999999999</v>
      </c>
    </row>
    <row r="32" spans="1:17" ht="17" thickBot="1" x14ac:dyDescent="0.25">
      <c r="B32" s="62"/>
      <c r="C32" s="63"/>
      <c r="D32" s="64"/>
      <c r="E32" s="67"/>
    </row>
    <row r="33" spans="2:12" ht="17" hidden="1" customHeight="1" x14ac:dyDescent="0.2"/>
    <row r="34" spans="2:12" hidden="1" x14ac:dyDescent="0.2">
      <c r="B34" s="59" t="s">
        <v>18</v>
      </c>
      <c r="C34" s="60"/>
      <c r="D34" s="61"/>
      <c r="E34" s="65">
        <v>0</v>
      </c>
    </row>
    <row r="35" spans="2:12" hidden="1" x14ac:dyDescent="0.2">
      <c r="B35" s="62"/>
      <c r="C35" s="63"/>
      <c r="D35" s="64"/>
      <c r="E35" s="67"/>
      <c r="I35" s="7"/>
      <c r="J35" s="7"/>
      <c r="K35" s="7"/>
      <c r="L35" s="7"/>
    </row>
    <row r="36" spans="2:12" hidden="1" x14ac:dyDescent="0.2">
      <c r="I36" s="7"/>
      <c r="J36" s="7"/>
      <c r="K36" s="7"/>
      <c r="L36" s="7"/>
    </row>
    <row r="37" spans="2:12" hidden="1" x14ac:dyDescent="0.2">
      <c r="B37" s="59" t="s">
        <v>19</v>
      </c>
      <c r="C37" s="60"/>
      <c r="D37" s="61"/>
      <c r="E37" s="65">
        <v>0</v>
      </c>
    </row>
    <row r="38" spans="2:12" hidden="1" x14ac:dyDescent="0.2">
      <c r="B38" s="62"/>
      <c r="C38" s="63"/>
      <c r="D38" s="64"/>
      <c r="E38" s="66"/>
    </row>
    <row r="39" spans="2:12" hidden="1" x14ac:dyDescent="0.2"/>
  </sheetData>
  <mergeCells count="32">
    <mergeCell ref="I24:J24"/>
    <mergeCell ref="A25:D25"/>
    <mergeCell ref="I25:J25"/>
    <mergeCell ref="A26:B26"/>
    <mergeCell ref="F9:H9"/>
    <mergeCell ref="A9:A10"/>
    <mergeCell ref="A8:O8"/>
    <mergeCell ref="C9:E9"/>
    <mergeCell ref="B9:B10"/>
    <mergeCell ref="A23:D23"/>
    <mergeCell ref="I23:J23"/>
    <mergeCell ref="L9:L10"/>
    <mergeCell ref="O9:O10"/>
    <mergeCell ref="I9:I10"/>
    <mergeCell ref="J9:J10"/>
    <mergeCell ref="K9:K10"/>
    <mergeCell ref="M9:M10"/>
    <mergeCell ref="N9:N10"/>
    <mergeCell ref="A24:D24"/>
    <mergeCell ref="A1:E1"/>
    <mergeCell ref="A2:E2"/>
    <mergeCell ref="A3:E3"/>
    <mergeCell ref="A4:E4"/>
    <mergeCell ref="A5:E5"/>
    <mergeCell ref="B37:D38"/>
    <mergeCell ref="E37:E38"/>
    <mergeCell ref="B28:D29"/>
    <mergeCell ref="B31:D32"/>
    <mergeCell ref="B34:D35"/>
    <mergeCell ref="E34:E35"/>
    <mergeCell ref="E28:E29"/>
    <mergeCell ref="E31:E32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2026-02-27T17:30:13Z</dcterms:modified>
  <cp:category/>
  <cp:contentStatus/>
</cp:coreProperties>
</file>