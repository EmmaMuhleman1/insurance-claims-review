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autoCompressPictures="0" defaultThemeVersion="124226"/>
  <mc:AlternateContent xmlns:mc="http://schemas.openxmlformats.org/markup-compatibility/2006">
    <mc:Choice Requires="x15">
      <x15ac:absPath xmlns:x15ac="http://schemas.microsoft.com/office/spreadsheetml/2010/11/ac" url="/Users/tannerbeuret/Desktop/Loss Solutins Group/Jobs/Robin Vergato/"/>
    </mc:Choice>
  </mc:AlternateContent>
  <xr:revisionPtr revIDLastSave="0" documentId="13_ncr:1_{4F4048E1-EF5D-824E-A9B5-166B6E933AE5}" xr6:coauthVersionLast="47" xr6:coauthVersionMax="47" xr10:uidLastSave="{00000000-0000-0000-0000-000000000000}"/>
  <bookViews>
    <workbookView xWindow="4300" yWindow="3180" windowWidth="28800" windowHeight="15840"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49" i="1" l="1"/>
  <c r="I11" i="1"/>
  <c r="L11" i="1" s="1"/>
  <c r="H19" i="1"/>
  <c r="E19" i="1"/>
  <c r="L18" i="1"/>
  <c r="H18" i="1"/>
  <c r="E18" i="1"/>
  <c r="L17" i="1"/>
  <c r="H17" i="1"/>
  <c r="E17" i="1"/>
  <c r="L16" i="1"/>
  <c r="H16" i="1"/>
  <c r="E16" i="1"/>
  <c r="L15" i="1"/>
  <c r="H15" i="1"/>
  <c r="E15" i="1"/>
  <c r="L14" i="1"/>
  <c r="H14" i="1"/>
  <c r="E14" i="1"/>
  <c r="L13" i="1"/>
  <c r="H13" i="1"/>
  <c r="E13" i="1"/>
  <c r="L12" i="1"/>
  <c r="H12" i="1"/>
  <c r="E12" i="1"/>
  <c r="L27" i="1"/>
  <c r="H27" i="1"/>
  <c r="E27" i="1"/>
  <c r="L26" i="1"/>
  <c r="H26" i="1"/>
  <c r="E26" i="1"/>
  <c r="L25" i="1"/>
  <c r="H25" i="1"/>
  <c r="E25" i="1"/>
  <c r="L24" i="1"/>
  <c r="H24" i="1"/>
  <c r="E24" i="1"/>
  <c r="L23" i="1"/>
  <c r="H23" i="1"/>
  <c r="E23" i="1"/>
  <c r="L22" i="1"/>
  <c r="H22" i="1"/>
  <c r="E22" i="1"/>
  <c r="L21" i="1"/>
  <c r="H21" i="1"/>
  <c r="E21" i="1"/>
  <c r="L20" i="1"/>
  <c r="H20" i="1"/>
  <c r="E20" i="1"/>
  <c r="L35" i="1"/>
  <c r="H35" i="1"/>
  <c r="E35" i="1"/>
  <c r="L34" i="1"/>
  <c r="H34" i="1"/>
  <c r="E34" i="1"/>
  <c r="L33" i="1"/>
  <c r="H33" i="1"/>
  <c r="E33" i="1"/>
  <c r="L32" i="1"/>
  <c r="H32" i="1"/>
  <c r="K32" i="1" s="1"/>
  <c r="M32" i="1" s="1"/>
  <c r="E32" i="1"/>
  <c r="L31" i="1"/>
  <c r="H31" i="1"/>
  <c r="E31" i="1"/>
  <c r="L30" i="1"/>
  <c r="H30" i="1"/>
  <c r="E30" i="1"/>
  <c r="L29" i="1"/>
  <c r="H29" i="1"/>
  <c r="E29" i="1"/>
  <c r="L28" i="1"/>
  <c r="H28" i="1"/>
  <c r="E28" i="1"/>
  <c r="H11" i="1"/>
  <c r="L36" i="1"/>
  <c r="L38" i="1"/>
  <c r="L39" i="1"/>
  <c r="E37" i="1"/>
  <c r="H37" i="1"/>
  <c r="E38" i="1"/>
  <c r="H38" i="1"/>
  <c r="E39" i="1"/>
  <c r="H39" i="1"/>
  <c r="E40" i="1"/>
  <c r="H40" i="1"/>
  <c r="E41" i="1"/>
  <c r="H41" i="1"/>
  <c r="E42" i="1"/>
  <c r="H42" i="1"/>
  <c r="K42" i="1" s="1"/>
  <c r="E43" i="1"/>
  <c r="H43" i="1"/>
  <c r="E11" i="1"/>
  <c r="K38" i="1" l="1"/>
  <c r="M38" i="1" s="1"/>
  <c r="K34" i="1"/>
  <c r="M34" i="1" s="1"/>
  <c r="K37" i="1"/>
  <c r="M37" i="1" s="1"/>
  <c r="K40" i="1"/>
  <c r="M40" i="1" s="1"/>
  <c r="K41" i="1"/>
  <c r="M41" i="1" s="1"/>
  <c r="K43" i="1"/>
  <c r="M43" i="1" s="1"/>
  <c r="K19" i="1"/>
  <c r="M19" i="1" s="1"/>
  <c r="K18" i="1"/>
  <c r="M18" i="1" s="1"/>
  <c r="K17" i="1"/>
  <c r="M17" i="1" s="1"/>
  <c r="K16" i="1"/>
  <c r="M16" i="1" s="1"/>
  <c r="K15" i="1"/>
  <c r="M15" i="1" s="1"/>
  <c r="K14" i="1"/>
  <c r="M14" i="1" s="1"/>
  <c r="K13" i="1"/>
  <c r="M13" i="1" s="1"/>
  <c r="K12" i="1"/>
  <c r="M12" i="1" s="1"/>
  <c r="K27" i="1"/>
  <c r="M27" i="1" s="1"/>
  <c r="K26" i="1"/>
  <c r="M26" i="1" s="1"/>
  <c r="K25" i="1"/>
  <c r="M25" i="1" s="1"/>
  <c r="K24" i="1"/>
  <c r="M24" i="1" s="1"/>
  <c r="K23" i="1"/>
  <c r="M23" i="1" s="1"/>
  <c r="K22" i="1"/>
  <c r="M22" i="1" s="1"/>
  <c r="K21" i="1"/>
  <c r="M21" i="1" s="1"/>
  <c r="K20" i="1"/>
  <c r="M20" i="1" s="1"/>
  <c r="K35" i="1"/>
  <c r="M35" i="1" s="1"/>
  <c r="K33" i="1"/>
  <c r="M33" i="1" s="1"/>
  <c r="K31" i="1"/>
  <c r="M31" i="1"/>
  <c r="K30" i="1"/>
  <c r="M30" i="1" s="1"/>
  <c r="K29" i="1"/>
  <c r="M29" i="1" s="1"/>
  <c r="K28" i="1"/>
  <c r="M28" i="1" s="1"/>
  <c r="K39" i="1"/>
  <c r="M39" i="1" s="1"/>
  <c r="K11" i="1"/>
  <c r="M42" i="1"/>
  <c r="E36" i="1" l="1"/>
  <c r="H36" i="1"/>
  <c r="K36" i="1" s="1"/>
  <c r="E44" i="1" l="1"/>
  <c r="E46" i="1" s="1"/>
  <c r="M36" i="1"/>
  <c r="H44" i="1" l="1"/>
  <c r="H46" i="1" s="1"/>
  <c r="E52" i="1" s="1"/>
  <c r="K44" i="1"/>
  <c r="K46" i="1" s="1"/>
  <c r="E55" i="1" s="1"/>
  <c r="M11" i="1" l="1"/>
  <c r="M44" i="1" s="1"/>
  <c r="M46" i="1" s="1"/>
  <c r="E58" i="1" s="1"/>
</calcChain>
</file>

<file path=xl/sharedStrings.xml><?xml version="1.0" encoding="utf-8"?>
<sst xmlns="http://schemas.openxmlformats.org/spreadsheetml/2006/main" count="142" uniqueCount="95">
  <si>
    <t>COLOR DENOTES PRICING DISCREPANCY</t>
  </si>
  <si>
    <t>REF #</t>
  </si>
  <si>
    <t>ITEM</t>
  </si>
  <si>
    <t>CLAIM PRESENTED</t>
  </si>
  <si>
    <t>LSG RESEARCHED RCV</t>
  </si>
  <si>
    <t>AGE (YEARS)</t>
  </si>
  <si>
    <t>USEFUL LIFE (YEARS)</t>
  </si>
  <si>
    <t>ACV (MAX DEPRECIATION 75%)</t>
  </si>
  <si>
    <t>DEPRECIATION%</t>
  </si>
  <si>
    <t>DEPRECIATION</t>
  </si>
  <si>
    <t>CONDITION</t>
  </si>
  <si>
    <t>NOTES</t>
  </si>
  <si>
    <t>QTY</t>
  </si>
  <si>
    <t>UNIT COST</t>
  </si>
  <si>
    <t>TOTAL</t>
  </si>
  <si>
    <t>SUB-TOTAL</t>
  </si>
  <si>
    <t>SALES TAX</t>
  </si>
  <si>
    <t>TOTAL PRESENTED</t>
  </si>
  <si>
    <t>TOTAL RESEARCHED RCV</t>
  </si>
  <si>
    <t>TOTAL ACV</t>
  </si>
  <si>
    <t>TOTAL DEPRECIATION</t>
  </si>
  <si>
    <t>INSURED: ROBIN VERGATO</t>
  </si>
  <si>
    <t xml:space="preserve">LSG MATTER #: 787200.12863-00 </t>
  </si>
  <si>
    <t>CLAIM #: I6G2508</t>
  </si>
  <si>
    <t>DATE OF LOSS: 1/30/2026</t>
  </si>
  <si>
    <t>CAUSE OF LOSS: POWER ANOMALY</t>
  </si>
  <si>
    <t>COMAC PUMP AND WELL LLC (603-642-3683) INVOICE # 27885</t>
  </si>
  <si>
    <t>CS/CR 7GPM 1/2HP 3W STAINLESS STEEL SUBMERSIBLE PUMP 100187963Y</t>
  </si>
  <si>
    <t>STAINLESS STEEL CLAMP FOR 1" POLY</t>
  </si>
  <si>
    <t>PREMIUM TORQUE ARRESTOR</t>
  </si>
  <si>
    <t>WELL SANITIZER</t>
  </si>
  <si>
    <t>BRASS LEAD FREE TANK MANIFOLD</t>
  </si>
  <si>
    <t>BRASS 1" EXTRA LONG 4201LE CHECK VALVE</t>
  </si>
  <si>
    <t>BRASS 1" NPT FULL PORT BALL VALVE</t>
  </si>
  <si>
    <t>BRASS PREMIUM 1/4 TURN BOILER DRAIN</t>
  </si>
  <si>
    <t>BRASS 1/4"X3" NIPPLE FOR PRESSURE SWITCH USE</t>
  </si>
  <si>
    <t>100PSI 1/2" PREMIUM BRASS PRESSURE RELIEF VALVE</t>
  </si>
  <si>
    <t>NYLON 1" NPT MALE ADAPTER</t>
  </si>
  <si>
    <t>EXTRA HIGH DENSITY TEFLON HD THREAD SEALING TAPE</t>
  </si>
  <si>
    <t>40/60 PRESSURE SWITCH</t>
  </si>
  <si>
    <t>PEX 1"  INSERT MALE ADAPTER</t>
  </si>
  <si>
    <t>PC LABOR TECH PER HOUR</t>
  </si>
  <si>
    <t>DC LABOR ASST TECH PER HOUR</t>
  </si>
  <si>
    <t>TAE</t>
  </si>
  <si>
    <t>1/2 HORSEPOWER, 7 GPM, SUBMERSIBLE PUMP</t>
  </si>
  <si>
    <t>1.25 INCH BRASS CHECK VALVE INLINE</t>
  </si>
  <si>
    <t>1 INCH FORGED MALE ADAPTER</t>
  </si>
  <si>
    <t>TWO (2) BRASS/STAINLESS STEEL  1" FORGED MALE ADAP</t>
  </si>
  <si>
    <t>1 INCH STAINLESS STEEL PINCH CLIP</t>
  </si>
  <si>
    <t>1 INCH TORQUE ARRESTOR</t>
  </si>
  <si>
    <t>ALL WEATHER CABLE TAPE</t>
  </si>
  <si>
    <t>ALL WEATHER DEEP WELL CABLE SECURE TAPE FOR ROUGHLY 250 FEET</t>
  </si>
  <si>
    <t>HEAT SHRINK CONNECTORS</t>
  </si>
  <si>
    <t>SHARKBITE FITTINGS</t>
  </si>
  <si>
    <t xml:space="preserve">1-1/4" x 1" SHARKBITE FITTINGS TO MAKE PEX CONNECTIONS. </t>
  </si>
  <si>
    <t>LABOR HOURS FOR AN ASSISTANT TECHNICIAN FOR SIX (6) HOURS OF WORK.</t>
  </si>
  <si>
    <t>LABOR FOR ONE TECHNICIAN FOR SIX (6) HOURS OF WORK</t>
  </si>
  <si>
    <t>1/2 HP CS/CR CONTROL PANEL</t>
  </si>
  <si>
    <t>DISCOUNT</t>
  </si>
  <si>
    <t>N/A</t>
  </si>
  <si>
    <t>PUMP HOIST CHARGE</t>
  </si>
  <si>
    <t>THE FEE FOR THE PORTABLE PUMP HOIST FOR THE JOB</t>
  </si>
  <si>
    <t>ELECTRICAL CONTROL PANEL FOR 1/2 PUMP</t>
  </si>
  <si>
    <t>DOUBLE POLE WALL MOUNTED SWITCH</t>
  </si>
  <si>
    <t>ADDITIONAL: VALVE GUARD</t>
  </si>
  <si>
    <t>PEX CLAMPS</t>
  </si>
  <si>
    <t>DOUBLE POLE WALL SWITCH WITH LOCKOUT TAGOUT.</t>
  </si>
  <si>
    <t>1 INCH MALE ADAPTER</t>
  </si>
  <si>
    <t>PEX 1" STAINLESS STEEL CLAMPS</t>
  </si>
  <si>
    <t>PEX  1" PIPE, TWO (2) FEET TOTAL.</t>
  </si>
  <si>
    <t>2 FT PEX PIPE</t>
  </si>
  <si>
    <t>90 DEGREE PEX ELBOW</t>
  </si>
  <si>
    <t>PEX 1" SLIP CONNECTION TO SLIP CONNECTION 90 DEGREE ELBOW</t>
  </si>
  <si>
    <t>PREMIUM LIQUID FILLED 0-100PSI PRESSURE GAUGE WITH STAINLESS STEEL HOUSING</t>
  </si>
  <si>
    <t>PSI SWITCH</t>
  </si>
  <si>
    <t>MALE ADAPTER</t>
  </si>
  <si>
    <t>PRESSURE RELIEF VALVE</t>
  </si>
  <si>
    <t>PRESSURE SWITCH NIPPLE</t>
  </si>
  <si>
    <t>TANK DRAIN</t>
  </si>
  <si>
    <t>1 INCH BALL VALVE</t>
  </si>
  <si>
    <t>1 INCH INLINE CHECK VALVE</t>
  </si>
  <si>
    <t>TANK MANIFOLD</t>
  </si>
  <si>
    <t>33 GAL TANK</t>
  </si>
  <si>
    <t>SANITIZER</t>
  </si>
  <si>
    <t>PUMP CABLE 12/3 AWG</t>
  </si>
  <si>
    <t>3 PART CLEAR PREMIUM HEAT SHRINK ELEC CONNECTORS/TUBE</t>
  </si>
  <si>
    <t>AVERAGE</t>
  </si>
  <si>
    <t>33 GALLON FLEXCON STEEL TANK ASSY.  122R470145Y (WR120R)</t>
  </si>
  <si>
    <t>BRASS 1.25" X 1.0' REDUNDANT PUMP CHECK VALVES</t>
  </si>
  <si>
    <t>HD BLUE POLY PIPE (255 FT)</t>
  </si>
  <si>
    <t>BRASS 1" INTERIOR CYCLE GUARD VALVE, ADJUSTABLE HOUSING. (THIS IS NOTED BY THE INSURED AND VENDOR THAT THIS ITEM IS AN INTERIOR VALVE THAT WAS AN UPGRADE AND SHOULD BE EXCLUDED FROM THIS CLAIM.)</t>
  </si>
  <si>
    <t>THREAD SEALANT</t>
  </si>
  <si>
    <t>0-100 PSI LIQUID FILLED GAUGE</t>
  </si>
  <si>
    <t>HD SUBMERSIBLE 12/3WG DEEP WELL CABLE (NON FLAT) (FOUND TO BE $1.34 / FT)</t>
  </si>
  <si>
    <t>1" (ONE INCH I.D.) HEAVY DUTY BLUE ICE PLASTIC PIPING ROUGHLY 255 FEET (FOUND TO BE $229/300FT= 0.7633 $/FT)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</si>
</sst>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0000_);_(&quot;$&quot;* \(#,##0.0000\);_(&quot;$&quot;* &quot;-&quot;??_);_(@_)"/>
  </numFmts>
  <fonts count="9" x14ac:knownFonts="1">
    <font>
      <sz val="10"/>
      <name val="Arial"/>
    </font>
    <font>
      <sz val="8"/>
      <name val="Arial"/>
      <family val="2"/>
    </font>
    <font>
      <sz val="10"/>
      <name val="Arial"/>
      <family val="2"/>
    </font>
    <font>
      <u/>
      <sz val="10"/>
      <color theme="10"/>
      <name val="Arial"/>
      <family val="2"/>
    </font>
    <font>
      <u/>
      <sz val="10"/>
      <color theme="11"/>
      <name val="Arial"/>
      <family val="2"/>
    </font>
    <font>
      <sz val="10"/>
      <name val="Arial"/>
      <family val="2"/>
    </font>
    <font>
      <b/>
      <sz val="12"/>
      <name val="Arial"/>
      <family val="2"/>
    </font>
    <font>
      <sz val="12"/>
      <name val="Arial"/>
      <family val="2"/>
    </font>
    <font>
      <b/>
      <sz val="12"/>
      <color indexed="8"/>
      <name val="Arial"/>
      <family val="2"/>
    </font>
  </fonts>
  <fills count="6">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s>
  <borders count="25">
    <border>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2"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9" fontId="5" fillId="0" borderId="0" applyFont="0" applyFill="0" applyBorder="0" applyAlignment="0" applyProtection="0"/>
  </cellStyleXfs>
  <cellXfs count="117">
    <xf numFmtId="0" fontId="0" fillId="0" borderId="0" xfId="0"/>
    <xf numFmtId="0" fontId="6" fillId="0" borderId="0" xfId="0" applyFont="1" applyAlignment="1">
      <alignment horizontal="center"/>
    </xf>
    <xf numFmtId="0" fontId="6" fillId="0" borderId="0" xfId="0" applyFont="1"/>
    <xf numFmtId="0" fontId="7" fillId="0" borderId="0" xfId="0" applyFont="1"/>
    <xf numFmtId="0" fontId="6" fillId="0" borderId="0" xfId="0" applyFont="1" applyAlignment="1">
      <alignment horizontal="center" wrapText="1"/>
    </xf>
    <xf numFmtId="0" fontId="7" fillId="0" borderId="0" xfId="0" applyFont="1" applyAlignment="1">
      <alignment horizontal="center"/>
    </xf>
    <xf numFmtId="0" fontId="6" fillId="0" borderId="0" xfId="0" applyFont="1" applyAlignment="1">
      <alignment vertical="center"/>
    </xf>
    <xf numFmtId="14" fontId="6" fillId="0" borderId="0" xfId="0" applyNumberFormat="1" applyFont="1" applyAlignment="1">
      <alignment horizontal="center"/>
    </xf>
    <xf numFmtId="0" fontId="6" fillId="0" borderId="0" xfId="0" applyFont="1" applyAlignment="1">
      <alignment horizontal="center" vertical="center"/>
    </xf>
    <xf numFmtId="0" fontId="7" fillId="0" borderId="0" xfId="0" applyFont="1" applyAlignment="1">
      <alignment horizontal="left" wrapText="1"/>
    </xf>
    <xf numFmtId="0" fontId="7" fillId="0" borderId="0" xfId="0" applyFont="1" applyAlignment="1">
      <alignment vertical="center"/>
    </xf>
    <xf numFmtId="0" fontId="6" fillId="3" borderId="12" xfId="0" applyFont="1" applyFill="1" applyBorder="1" applyAlignment="1">
      <alignment horizontal="center" vertical="center" wrapText="1"/>
    </xf>
    <xf numFmtId="0" fontId="6" fillId="3" borderId="12" xfId="0" applyFont="1" applyFill="1" applyBorder="1" applyAlignment="1">
      <alignment horizontal="center" vertical="center"/>
    </xf>
    <xf numFmtId="164" fontId="6" fillId="3" borderId="12" xfId="0" applyNumberFormat="1" applyFont="1" applyFill="1" applyBorder="1" applyAlignment="1">
      <alignment horizontal="center" vertical="center" wrapText="1"/>
    </xf>
    <xf numFmtId="44" fontId="6" fillId="2" borderId="13" xfId="1" applyFont="1" applyFill="1" applyBorder="1" applyAlignment="1">
      <alignment horizontal="center" vertical="center"/>
    </xf>
    <xf numFmtId="0" fontId="6" fillId="2" borderId="1" xfId="1" applyNumberFormat="1" applyFont="1" applyFill="1" applyBorder="1" applyAlignment="1"/>
    <xf numFmtId="0" fontId="6" fillId="2" borderId="2" xfId="1" applyNumberFormat="1" applyFont="1" applyFill="1" applyBorder="1" applyAlignment="1"/>
    <xf numFmtId="44" fontId="6" fillId="2" borderId="13" xfId="1" applyFont="1" applyFill="1" applyBorder="1" applyAlignment="1"/>
    <xf numFmtId="44" fontId="6" fillId="2" borderId="13" xfId="1" applyFont="1" applyFill="1" applyBorder="1" applyAlignment="1">
      <alignment horizontal="right"/>
    </xf>
    <xf numFmtId="44" fontId="7" fillId="2" borderId="15" xfId="1" applyFont="1" applyFill="1" applyBorder="1" applyAlignment="1"/>
    <xf numFmtId="44" fontId="7" fillId="2" borderId="7" xfId="1" applyFont="1" applyFill="1" applyBorder="1" applyAlignment="1"/>
    <xf numFmtId="44" fontId="7" fillId="2" borderId="9" xfId="1" applyFont="1" applyFill="1" applyBorder="1" applyAlignment="1"/>
    <xf numFmtId="44" fontId="7" fillId="0" borderId="15" xfId="1" applyFont="1" applyFill="1" applyBorder="1" applyAlignment="1">
      <alignment horizontal="right"/>
    </xf>
    <xf numFmtId="44" fontId="6" fillId="2" borderId="15" xfId="1" applyFont="1" applyFill="1" applyBorder="1" applyAlignment="1"/>
    <xf numFmtId="44" fontId="6" fillId="2" borderId="7" xfId="1" applyFont="1" applyFill="1" applyBorder="1" applyAlignment="1"/>
    <xf numFmtId="44" fontId="6" fillId="2" borderId="9" xfId="1" applyFont="1" applyFill="1" applyBorder="1" applyAlignment="1"/>
    <xf numFmtId="44" fontId="6" fillId="2" borderId="15" xfId="1" applyFont="1" applyFill="1" applyBorder="1" applyAlignment="1">
      <alignment horizontal="right"/>
    </xf>
    <xf numFmtId="44" fontId="7" fillId="0" borderId="0" xfId="0" applyNumberFormat="1" applyFont="1" applyAlignment="1">
      <alignment horizontal="center"/>
    </xf>
    <xf numFmtId="0" fontId="7" fillId="2" borderId="16" xfId="0" applyFont="1" applyFill="1" applyBorder="1" applyAlignment="1">
      <alignment horizontal="center"/>
    </xf>
    <xf numFmtId="0" fontId="7" fillId="2" borderId="16" xfId="0" applyFont="1" applyFill="1" applyBorder="1" applyAlignment="1">
      <alignment horizontal="left" wrapText="1"/>
    </xf>
    <xf numFmtId="44" fontId="7" fillId="2" borderId="16" xfId="1" applyFont="1" applyFill="1" applyBorder="1" applyAlignment="1">
      <alignment horizontal="center"/>
    </xf>
    <xf numFmtId="0" fontId="7" fillId="2" borderId="16" xfId="1" applyNumberFormat="1" applyFont="1" applyFill="1" applyBorder="1" applyAlignment="1">
      <alignment horizontal="center"/>
    </xf>
    <xf numFmtId="9" fontId="7" fillId="2" borderId="16" xfId="6" applyFont="1" applyFill="1" applyBorder="1" applyAlignment="1">
      <alignment horizontal="center"/>
    </xf>
    <xf numFmtId="0" fontId="7" fillId="2" borderId="16" xfId="1" applyNumberFormat="1" applyFont="1" applyFill="1" applyBorder="1" applyAlignment="1">
      <alignment horizontal="center" wrapText="1"/>
    </xf>
    <xf numFmtId="0" fontId="7" fillId="0" borderId="16" xfId="0" applyFont="1" applyBorder="1" applyAlignment="1">
      <alignment horizontal="left" wrapText="1"/>
    </xf>
    <xf numFmtId="44" fontId="7" fillId="0" borderId="16" xfId="1" applyFont="1" applyFill="1" applyBorder="1" applyAlignment="1">
      <alignment horizontal="center"/>
    </xf>
    <xf numFmtId="0" fontId="7" fillId="0" borderId="16" xfId="1" applyNumberFormat="1" applyFont="1" applyFill="1" applyBorder="1" applyAlignment="1">
      <alignment horizontal="center"/>
    </xf>
    <xf numFmtId="0" fontId="7" fillId="0" borderId="16" xfId="1" applyNumberFormat="1" applyFont="1" applyFill="1" applyBorder="1" applyAlignment="1">
      <alignment horizontal="center" wrapText="1"/>
    </xf>
    <xf numFmtId="0" fontId="7" fillId="4" borderId="16" xfId="0" applyFont="1" applyFill="1" applyBorder="1" applyAlignment="1">
      <alignment horizontal="center"/>
    </xf>
    <xf numFmtId="0" fontId="7" fillId="4" borderId="16" xfId="0" applyFont="1" applyFill="1" applyBorder="1" applyAlignment="1">
      <alignment horizontal="left" wrapText="1"/>
    </xf>
    <xf numFmtId="44" fontId="7" fillId="4" borderId="16" xfId="1" applyFont="1" applyFill="1" applyBorder="1" applyAlignment="1">
      <alignment horizontal="center"/>
    </xf>
    <xf numFmtId="0" fontId="7" fillId="4" borderId="16" xfId="1" applyNumberFormat="1" applyFont="1" applyFill="1" applyBorder="1" applyAlignment="1">
      <alignment horizontal="center"/>
    </xf>
    <xf numFmtId="9" fontId="7" fillId="4" borderId="16" xfId="6" applyFont="1" applyFill="1" applyBorder="1" applyAlignment="1">
      <alignment horizontal="center"/>
    </xf>
    <xf numFmtId="0" fontId="7" fillId="4" borderId="16" xfId="1" applyNumberFormat="1" applyFont="1" applyFill="1" applyBorder="1" applyAlignment="1">
      <alignment horizontal="center" wrapText="1"/>
    </xf>
    <xf numFmtId="0" fontId="7" fillId="2" borderId="17" xfId="0" applyFont="1" applyFill="1" applyBorder="1" applyAlignment="1">
      <alignment horizontal="center"/>
    </xf>
    <xf numFmtId="0" fontId="7" fillId="2" borderId="18" xfId="0" applyFont="1" applyFill="1" applyBorder="1" applyAlignment="1">
      <alignment horizontal="left" wrapText="1"/>
    </xf>
    <xf numFmtId="0" fontId="7" fillId="2" borderId="18" xfId="0" applyFont="1" applyFill="1" applyBorder="1" applyAlignment="1">
      <alignment horizontal="center"/>
    </xf>
    <xf numFmtId="44" fontId="7" fillId="2" borderId="18" xfId="1" applyFont="1" applyFill="1" applyBorder="1" applyAlignment="1">
      <alignment horizontal="center"/>
    </xf>
    <xf numFmtId="0" fontId="7" fillId="2" borderId="18" xfId="1" applyNumberFormat="1" applyFont="1" applyFill="1" applyBorder="1" applyAlignment="1">
      <alignment horizontal="center"/>
    </xf>
    <xf numFmtId="9" fontId="7" fillId="2" borderId="18" xfId="6" applyFont="1" applyFill="1" applyBorder="1" applyAlignment="1">
      <alignment horizontal="center"/>
    </xf>
    <xf numFmtId="0" fontId="7" fillId="2" borderId="18" xfId="1" applyNumberFormat="1" applyFont="1" applyFill="1" applyBorder="1" applyAlignment="1">
      <alignment horizontal="center" wrapText="1"/>
    </xf>
    <xf numFmtId="0" fontId="7" fillId="2" borderId="19" xfId="0" applyFont="1" applyFill="1" applyBorder="1" applyAlignment="1">
      <alignment horizontal="left" wrapText="1"/>
    </xf>
    <xf numFmtId="0" fontId="7" fillId="0" borderId="20" xfId="0" applyFont="1" applyBorder="1" applyAlignment="1">
      <alignment horizontal="center"/>
    </xf>
    <xf numFmtId="0" fontId="7" fillId="2" borderId="21" xfId="0" applyFont="1" applyFill="1" applyBorder="1" applyAlignment="1">
      <alignment horizontal="left" wrapText="1"/>
    </xf>
    <xf numFmtId="0" fontId="7" fillId="2" borderId="20" xfId="0" applyFont="1" applyFill="1" applyBorder="1" applyAlignment="1">
      <alignment horizontal="center"/>
    </xf>
    <xf numFmtId="0" fontId="7" fillId="4" borderId="20" xfId="0" applyFont="1" applyFill="1" applyBorder="1" applyAlignment="1">
      <alignment horizontal="center"/>
    </xf>
    <xf numFmtId="0" fontId="7" fillId="2" borderId="22" xfId="0" applyFont="1" applyFill="1" applyBorder="1" applyAlignment="1">
      <alignment horizontal="center"/>
    </xf>
    <xf numFmtId="0" fontId="7" fillId="2" borderId="23" xfId="0" applyFont="1" applyFill="1" applyBorder="1" applyAlignment="1">
      <alignment horizontal="left" wrapText="1"/>
    </xf>
    <xf numFmtId="0" fontId="7" fillId="2" borderId="23" xfId="0" applyFont="1" applyFill="1" applyBorder="1" applyAlignment="1">
      <alignment horizontal="center"/>
    </xf>
    <xf numFmtId="44" fontId="7" fillId="2" borderId="23" xfId="1" applyFont="1" applyFill="1" applyBorder="1" applyAlignment="1">
      <alignment horizontal="center"/>
    </xf>
    <xf numFmtId="0" fontId="7" fillId="2" borderId="23" xfId="1" applyNumberFormat="1" applyFont="1" applyFill="1" applyBorder="1" applyAlignment="1">
      <alignment horizontal="center"/>
    </xf>
    <xf numFmtId="9" fontId="7" fillId="2" borderId="23" xfId="6" applyFont="1" applyFill="1" applyBorder="1" applyAlignment="1">
      <alignment horizontal="center"/>
    </xf>
    <xf numFmtId="0" fontId="7" fillId="2" borderId="23" xfId="1" applyNumberFormat="1" applyFont="1" applyFill="1" applyBorder="1" applyAlignment="1">
      <alignment horizontal="center" wrapText="1"/>
    </xf>
    <xf numFmtId="0" fontId="7" fillId="4" borderId="21" xfId="0" applyFont="1" applyFill="1" applyBorder="1" applyAlignment="1">
      <alignment horizontal="left" wrapText="1"/>
    </xf>
    <xf numFmtId="0" fontId="7" fillId="2" borderId="24" xfId="0" applyFont="1" applyFill="1" applyBorder="1" applyAlignment="1">
      <alignment horizontal="left" wrapText="1"/>
    </xf>
    <xf numFmtId="0" fontId="7" fillId="0" borderId="16" xfId="0" applyFont="1" applyBorder="1" applyAlignment="1">
      <alignment horizontal="center"/>
    </xf>
    <xf numFmtId="9" fontId="7" fillId="0" borderId="16" xfId="6" applyFont="1" applyFill="1" applyBorder="1" applyAlignment="1">
      <alignment horizontal="center"/>
    </xf>
    <xf numFmtId="0" fontId="7" fillId="0" borderId="21" xfId="0" applyFont="1" applyBorder="1" applyAlignment="1">
      <alignment horizontal="left" wrapText="1"/>
    </xf>
    <xf numFmtId="1" fontId="7" fillId="4" borderId="16" xfId="0" applyNumberFormat="1" applyFont="1" applyFill="1" applyBorder="1" applyAlignment="1">
      <alignment horizontal="center"/>
    </xf>
    <xf numFmtId="165" fontId="7" fillId="4" borderId="16" xfId="1" applyNumberFormat="1" applyFont="1" applyFill="1" applyBorder="1" applyAlignment="1">
      <alignment horizontal="center"/>
    </xf>
    <xf numFmtId="0" fontId="6" fillId="3" borderId="3"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 xfId="0" applyFont="1" applyFill="1" applyBorder="1" applyAlignment="1">
      <alignment horizontal="center" vertical="center"/>
    </xf>
    <xf numFmtId="44" fontId="6" fillId="0" borderId="12" xfId="0" applyNumberFormat="1" applyFont="1" applyBorder="1" applyAlignment="1">
      <alignment horizontal="center" vertical="center"/>
    </xf>
    <xf numFmtId="44" fontId="6" fillId="0" borderId="13" xfId="0" applyNumberFormat="1" applyFont="1" applyBorder="1" applyAlignment="1">
      <alignment horizontal="center" vertical="center"/>
    </xf>
    <xf numFmtId="0" fontId="6" fillId="0" borderId="13" xfId="0" applyFont="1" applyBorder="1" applyAlignment="1">
      <alignment horizontal="center" vertical="center"/>
    </xf>
    <xf numFmtId="0" fontId="6" fillId="0" borderId="3" xfId="0" applyFont="1" applyBorder="1" applyAlignment="1">
      <alignment horizontal="left"/>
    </xf>
    <xf numFmtId="0" fontId="6" fillId="0" borderId="10" xfId="0" applyFont="1" applyBorder="1" applyAlignment="1">
      <alignment horizontal="left"/>
    </xf>
    <xf numFmtId="0" fontId="6" fillId="0" borderId="4" xfId="0" applyFont="1" applyBorder="1" applyAlignment="1">
      <alignment horizontal="left"/>
    </xf>
    <xf numFmtId="0" fontId="6" fillId="0" borderId="5" xfId="0" applyFont="1" applyBorder="1" applyAlignment="1">
      <alignment horizontal="left"/>
    </xf>
    <xf numFmtId="0" fontId="6" fillId="0" borderId="0" xfId="0" applyFont="1" applyAlignment="1">
      <alignment horizontal="left"/>
    </xf>
    <xf numFmtId="0" fontId="6" fillId="0" borderId="6" xfId="0" applyFont="1" applyBorder="1" applyAlignment="1">
      <alignment horizontal="left"/>
    </xf>
    <xf numFmtId="0" fontId="6" fillId="0" borderId="1" xfId="0" applyFont="1" applyBorder="1" applyAlignment="1">
      <alignment horizontal="left"/>
    </xf>
    <xf numFmtId="0" fontId="6" fillId="0" borderId="11" xfId="0" applyFont="1" applyBorder="1" applyAlignment="1">
      <alignment horizontal="left"/>
    </xf>
    <xf numFmtId="0" fontId="6" fillId="0" borderId="2" xfId="0" applyFont="1" applyBorder="1" applyAlignment="1">
      <alignment horizontal="left"/>
    </xf>
    <xf numFmtId="0" fontId="6" fillId="4" borderId="3" xfId="0" applyFont="1" applyFill="1" applyBorder="1" applyAlignment="1">
      <alignment horizontal="center" wrapText="1"/>
    </xf>
    <xf numFmtId="0" fontId="6" fillId="4" borderId="4" xfId="0" applyFont="1" applyFill="1" applyBorder="1" applyAlignment="1">
      <alignment horizontal="center" wrapText="1"/>
    </xf>
    <xf numFmtId="0" fontId="6" fillId="4" borderId="1" xfId="0" applyFont="1" applyFill="1" applyBorder="1" applyAlignment="1">
      <alignment horizontal="center" wrapText="1"/>
    </xf>
    <xf numFmtId="0" fontId="6" fillId="4" borderId="2" xfId="0" applyFont="1" applyFill="1" applyBorder="1" applyAlignment="1">
      <alignment horizontal="center" wrapText="1"/>
    </xf>
    <xf numFmtId="0" fontId="6" fillId="0" borderId="0" xfId="0" applyFont="1" applyAlignment="1">
      <alignment horizont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2"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4" xfId="0" applyFont="1" applyFill="1" applyBorder="1" applyAlignment="1">
      <alignment horizontal="center" vertical="center"/>
    </xf>
    <xf numFmtId="0" fontId="8" fillId="0" borderId="1" xfId="0" applyFont="1" applyBorder="1" applyAlignment="1">
      <alignment horizontal="left"/>
    </xf>
    <xf numFmtId="0" fontId="8" fillId="0" borderId="11" xfId="0" applyFont="1" applyBorder="1" applyAlignment="1">
      <alignment horizontal="left"/>
    </xf>
    <xf numFmtId="0" fontId="8" fillId="0" borderId="2" xfId="0" applyFont="1" applyBorder="1" applyAlignment="1">
      <alignment horizontal="left"/>
    </xf>
    <xf numFmtId="0" fontId="6" fillId="2" borderId="1" xfId="1" applyNumberFormat="1" applyFont="1" applyFill="1" applyBorder="1" applyAlignment="1">
      <alignment horizontal="center"/>
    </xf>
    <xf numFmtId="0" fontId="6" fillId="2" borderId="2" xfId="1" applyNumberFormat="1" applyFont="1" applyFill="1" applyBorder="1" applyAlignment="1">
      <alignment horizontal="center"/>
    </xf>
    <xf numFmtId="164" fontId="6" fillId="3" borderId="12" xfId="0" applyNumberFormat="1" applyFont="1" applyFill="1" applyBorder="1" applyAlignment="1">
      <alignment horizontal="center" vertical="center" wrapText="1"/>
    </xf>
    <xf numFmtId="164" fontId="6" fillId="3" borderId="14" xfId="0" applyNumberFormat="1" applyFont="1" applyFill="1" applyBorder="1" applyAlignment="1">
      <alignment horizontal="center" vertical="center" wrapText="1"/>
    </xf>
    <xf numFmtId="0" fontId="8" fillId="0" borderId="7" xfId="0" applyFont="1" applyBorder="1" applyAlignment="1">
      <alignment horizontal="left"/>
    </xf>
    <xf numFmtId="0" fontId="8" fillId="0" borderId="8" xfId="0" applyFont="1" applyBorder="1" applyAlignment="1">
      <alignment horizontal="left"/>
    </xf>
    <xf numFmtId="0" fontId="8" fillId="0" borderId="9" xfId="0" applyFont="1" applyBorder="1" applyAlignment="1">
      <alignment horizontal="left"/>
    </xf>
    <xf numFmtId="0" fontId="7" fillId="2" borderId="7" xfId="1" applyNumberFormat="1" applyFont="1" applyFill="1" applyBorder="1" applyAlignment="1">
      <alignment horizontal="center"/>
    </xf>
    <xf numFmtId="0" fontId="7" fillId="2" borderId="9" xfId="1" applyNumberFormat="1" applyFont="1" applyFill="1" applyBorder="1" applyAlignment="1">
      <alignment horizontal="center"/>
    </xf>
    <xf numFmtId="0" fontId="6" fillId="2" borderId="7" xfId="1" applyNumberFormat="1" applyFont="1" applyFill="1" applyBorder="1" applyAlignment="1">
      <alignment horizontal="center"/>
    </xf>
    <xf numFmtId="0" fontId="6" fillId="2" borderId="9" xfId="1" applyNumberFormat="1" applyFont="1" applyFill="1" applyBorder="1" applyAlignment="1">
      <alignment horizontal="center"/>
    </xf>
  </cellXfs>
  <cellStyles count="7">
    <cellStyle name="Currency" xfId="1" builtinId="4"/>
    <cellStyle name="Followed Hyperlink" xfId="3" builtinId="9" hidden="1"/>
    <cellStyle name="Followed Hyperlink" xfId="5" builtinId="9" hidden="1"/>
    <cellStyle name="Hyperlink" xfId="2" builtinId="8" hidden="1"/>
    <cellStyle name="Hyperlink" xfId="4" builtinId="8" hidden="1"/>
    <cellStyle name="Normal" xfId="0" builtinId="0"/>
    <cellStyle name="Percent" xfId="6"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59"/>
  <sheetViews>
    <sheetView tabSelected="1" topLeftCell="A31" zoomScale="80" zoomScaleNormal="80" zoomScalePageLayoutView="90" workbookViewId="0">
      <selection activeCell="S37" sqref="S37"/>
    </sheetView>
  </sheetViews>
  <sheetFormatPr baseColWidth="10" defaultColWidth="8.83203125" defaultRowHeight="16" x14ac:dyDescent="0.2"/>
  <cols>
    <col min="1" max="1" width="5.6640625" style="3" customWidth="1"/>
    <col min="2" max="2" width="20.6640625" style="3" customWidth="1"/>
    <col min="3" max="3" width="5.6640625" style="5" customWidth="1"/>
    <col min="4" max="5" width="17.6640625" style="5" customWidth="1"/>
    <col min="6" max="6" width="5.83203125" style="5" bestFit="1" customWidth="1"/>
    <col min="7" max="8" width="17.6640625" style="5" customWidth="1"/>
    <col min="9" max="10" width="9.6640625" style="5" customWidth="1"/>
    <col min="11" max="13" width="17.6640625" style="5" hidden="1" customWidth="1"/>
    <col min="14" max="14" width="13.6640625" style="5" customWidth="1"/>
    <col min="15" max="15" width="47.6640625" style="9" customWidth="1"/>
    <col min="16" max="17" width="8.83203125" style="3"/>
    <col min="18" max="18" width="9.6640625" style="3" bestFit="1" customWidth="1"/>
    <col min="19" max="16384" width="8.83203125" style="3"/>
  </cols>
  <sheetData>
    <row r="1" spans="1:18" ht="15.75" customHeight="1" x14ac:dyDescent="0.2">
      <c r="A1" s="79" t="s">
        <v>21</v>
      </c>
      <c r="B1" s="80"/>
      <c r="C1" s="80"/>
      <c r="D1" s="80"/>
      <c r="E1" s="81"/>
      <c r="F1" s="1"/>
      <c r="G1"/>
      <c r="H1"/>
      <c r="I1"/>
      <c r="J1" s="1"/>
      <c r="K1" s="1"/>
      <c r="L1" s="1"/>
      <c r="M1" s="1"/>
      <c r="N1" s="1"/>
      <c r="O1" s="2"/>
      <c r="P1" s="2"/>
    </row>
    <row r="2" spans="1:18" ht="15.75" customHeight="1" x14ac:dyDescent="0.2">
      <c r="A2" s="82" t="s">
        <v>22</v>
      </c>
      <c r="B2" s="83"/>
      <c r="C2" s="83"/>
      <c r="D2" s="83"/>
      <c r="E2" s="84"/>
      <c r="F2" s="1"/>
      <c r="G2"/>
      <c r="H2"/>
      <c r="I2"/>
      <c r="J2" s="1"/>
      <c r="K2" s="1"/>
      <c r="M2" s="1"/>
      <c r="N2" s="1"/>
      <c r="O2" s="2"/>
      <c r="P2" s="2"/>
    </row>
    <row r="3" spans="1:18" ht="15.75" customHeight="1" x14ac:dyDescent="0.2">
      <c r="A3" s="82" t="s">
        <v>23</v>
      </c>
      <c r="B3" s="83"/>
      <c r="C3" s="83"/>
      <c r="D3" s="83"/>
      <c r="E3" s="84"/>
      <c r="F3" s="1"/>
      <c r="G3" s="4"/>
      <c r="H3" s="4"/>
      <c r="I3" s="4"/>
      <c r="J3" s="1"/>
      <c r="K3" s="1"/>
      <c r="L3"/>
      <c r="M3" s="1"/>
      <c r="N3" s="1"/>
      <c r="O3" s="6"/>
      <c r="P3" s="6"/>
    </row>
    <row r="4" spans="1:18" ht="15.75" customHeight="1" x14ac:dyDescent="0.2">
      <c r="A4" s="82" t="s">
        <v>24</v>
      </c>
      <c r="B4" s="83"/>
      <c r="C4" s="83"/>
      <c r="D4" s="83"/>
      <c r="E4" s="84"/>
      <c r="F4" s="7"/>
      <c r="G4" s="88" t="s">
        <v>0</v>
      </c>
      <c r="H4" s="89"/>
      <c r="I4" s="4"/>
      <c r="J4" s="8"/>
      <c r="K4" s="8"/>
      <c r="L4" s="1"/>
      <c r="O4" s="3"/>
    </row>
    <row r="5" spans="1:18" ht="15.75" customHeight="1" x14ac:dyDescent="0.2">
      <c r="A5" s="85" t="s">
        <v>25</v>
      </c>
      <c r="B5" s="86"/>
      <c r="C5" s="86"/>
      <c r="D5" s="86"/>
      <c r="E5" s="87"/>
      <c r="F5" s="1"/>
      <c r="G5" s="90"/>
      <c r="H5" s="91"/>
      <c r="I5" s="4"/>
      <c r="J5" s="1"/>
      <c r="K5" s="1"/>
      <c r="L5" s="1"/>
      <c r="O5" s="3"/>
    </row>
    <row r="8" spans="1:18" s="10" customFormat="1" ht="25.5" customHeight="1" x14ac:dyDescent="0.15">
      <c r="A8" s="98" t="s">
        <v>26</v>
      </c>
      <c r="B8" s="99"/>
      <c r="C8" s="99"/>
      <c r="D8" s="99"/>
      <c r="E8" s="99"/>
      <c r="F8" s="99"/>
      <c r="G8" s="99"/>
      <c r="H8" s="99"/>
      <c r="I8" s="99"/>
      <c r="J8" s="99"/>
      <c r="K8" s="99"/>
      <c r="L8" s="99"/>
      <c r="M8" s="99"/>
      <c r="N8" s="99"/>
      <c r="O8" s="100"/>
    </row>
    <row r="9" spans="1:18" ht="24" customHeight="1" x14ac:dyDescent="0.2">
      <c r="A9" s="96" t="s">
        <v>1</v>
      </c>
      <c r="B9" s="101" t="s">
        <v>2</v>
      </c>
      <c r="C9" s="93" t="s">
        <v>3</v>
      </c>
      <c r="D9" s="94"/>
      <c r="E9" s="95"/>
      <c r="F9" s="93" t="s">
        <v>4</v>
      </c>
      <c r="G9" s="94"/>
      <c r="H9" s="95"/>
      <c r="I9" s="108" t="s">
        <v>5</v>
      </c>
      <c r="J9" s="108" t="s">
        <v>6</v>
      </c>
      <c r="K9" s="108" t="s">
        <v>7</v>
      </c>
      <c r="L9" s="108" t="s">
        <v>8</v>
      </c>
      <c r="M9" s="108" t="s">
        <v>9</v>
      </c>
      <c r="N9" s="108" t="s">
        <v>10</v>
      </c>
      <c r="O9" s="96" t="s">
        <v>11</v>
      </c>
    </row>
    <row r="10" spans="1:18" s="5" customFormat="1" ht="24" customHeight="1" thickBot="1" x14ac:dyDescent="0.25">
      <c r="A10" s="97"/>
      <c r="B10" s="102"/>
      <c r="C10" s="12" t="s">
        <v>12</v>
      </c>
      <c r="D10" s="11" t="s">
        <v>13</v>
      </c>
      <c r="E10" s="13" t="s">
        <v>14</v>
      </c>
      <c r="F10" s="13" t="s">
        <v>12</v>
      </c>
      <c r="G10" s="13" t="s">
        <v>13</v>
      </c>
      <c r="H10" s="13" t="s">
        <v>14</v>
      </c>
      <c r="I10" s="109"/>
      <c r="J10" s="109"/>
      <c r="K10" s="109"/>
      <c r="L10" s="109"/>
      <c r="M10" s="109"/>
      <c r="N10" s="109"/>
      <c r="O10" s="97"/>
    </row>
    <row r="11" spans="1:18" s="5" customFormat="1" ht="87" customHeight="1" x14ac:dyDescent="0.2">
      <c r="A11" s="44">
        <v>1</v>
      </c>
      <c r="B11" s="45" t="s">
        <v>44</v>
      </c>
      <c r="C11" s="46">
        <v>1</v>
      </c>
      <c r="D11" s="47">
        <v>2335</v>
      </c>
      <c r="E11" s="47">
        <f>C11*D11</f>
        <v>2335</v>
      </c>
      <c r="F11" s="46">
        <v>1</v>
      </c>
      <c r="G11" s="47">
        <v>2335</v>
      </c>
      <c r="H11" s="47">
        <f>F11*G11</f>
        <v>2335</v>
      </c>
      <c r="I11" s="48">
        <f>2026-1998</f>
        <v>28</v>
      </c>
      <c r="J11" s="48">
        <v>20</v>
      </c>
      <c r="K11" s="47">
        <f>H11*(1-L11)</f>
        <v>583.75</v>
      </c>
      <c r="L11" s="49">
        <f>IF((I11/J11)&gt;=0.75,0.75,IF((I11/J11)&gt;=0,(I11/J11),IF((I11/J11)&lt;=1,0)))</f>
        <v>0.75</v>
      </c>
      <c r="M11" s="47">
        <f>H11-K11</f>
        <v>1751.25</v>
      </c>
      <c r="N11" s="50" t="s">
        <v>86</v>
      </c>
      <c r="O11" s="51" t="s">
        <v>27</v>
      </c>
      <c r="R11" s="27"/>
    </row>
    <row r="12" spans="1:18" s="5" customFormat="1" ht="65" customHeight="1" x14ac:dyDescent="0.2">
      <c r="A12" s="52">
        <v>2</v>
      </c>
      <c r="B12" s="34" t="s">
        <v>45</v>
      </c>
      <c r="C12" s="28">
        <v>1</v>
      </c>
      <c r="D12" s="35">
        <v>164.85</v>
      </c>
      <c r="E12" s="35">
        <f t="shared" ref="E12:E19" si="0">C12*D12</f>
        <v>164.85</v>
      </c>
      <c r="F12" s="28">
        <v>1</v>
      </c>
      <c r="G12" s="35">
        <v>164.85</v>
      </c>
      <c r="H12" s="35">
        <f t="shared" ref="H12" si="1">F12*G12</f>
        <v>164.85</v>
      </c>
      <c r="I12" s="36">
        <v>28</v>
      </c>
      <c r="J12" s="36">
        <v>20</v>
      </c>
      <c r="K12" s="30">
        <f t="shared" ref="K12:K19" si="2">H12*(1-L12)</f>
        <v>41.212499999999999</v>
      </c>
      <c r="L12" s="32">
        <f t="shared" ref="L12:L18" si="3">IF((I12/J12)&gt;=0.75,0.75,IF((I12/J12)&gt;=0.1,(I12/J12),IF((I12/J12)&lt;=0.1,0.1)))</f>
        <v>0.75</v>
      </c>
      <c r="M12" s="30">
        <f t="shared" ref="M12:M19" si="4">H12-K12</f>
        <v>123.63749999999999</v>
      </c>
      <c r="N12" s="37" t="s">
        <v>86</v>
      </c>
      <c r="O12" s="53" t="s">
        <v>88</v>
      </c>
    </row>
    <row r="13" spans="1:18" s="5" customFormat="1" ht="65" customHeight="1" x14ac:dyDescent="0.2">
      <c r="A13" s="54">
        <v>3</v>
      </c>
      <c r="B13" s="29" t="s">
        <v>46</v>
      </c>
      <c r="C13" s="28">
        <v>2</v>
      </c>
      <c r="D13" s="30">
        <v>49.5</v>
      </c>
      <c r="E13" s="30">
        <f t="shared" si="0"/>
        <v>99</v>
      </c>
      <c r="F13" s="28">
        <v>2</v>
      </c>
      <c r="G13" s="30">
        <v>49.5</v>
      </c>
      <c r="H13" s="30">
        <f>F13*G13</f>
        <v>99</v>
      </c>
      <c r="I13" s="36">
        <v>28</v>
      </c>
      <c r="J13" s="36">
        <v>20</v>
      </c>
      <c r="K13" s="30">
        <f t="shared" si="2"/>
        <v>24.75</v>
      </c>
      <c r="L13" s="32">
        <f t="shared" si="3"/>
        <v>0.75</v>
      </c>
      <c r="M13" s="30">
        <f t="shared" si="4"/>
        <v>74.25</v>
      </c>
      <c r="N13" s="33" t="s">
        <v>86</v>
      </c>
      <c r="O13" s="53" t="s">
        <v>47</v>
      </c>
    </row>
    <row r="14" spans="1:18" s="5" customFormat="1" ht="65" customHeight="1" x14ac:dyDescent="0.2">
      <c r="A14" s="52">
        <v>4</v>
      </c>
      <c r="B14" s="34" t="s">
        <v>48</v>
      </c>
      <c r="C14" s="28">
        <v>4</v>
      </c>
      <c r="D14" s="35">
        <v>6.9</v>
      </c>
      <c r="E14" s="35">
        <f t="shared" si="0"/>
        <v>27.6</v>
      </c>
      <c r="F14" s="28">
        <v>4</v>
      </c>
      <c r="G14" s="35">
        <v>6.9</v>
      </c>
      <c r="H14" s="35">
        <f t="shared" ref="H14" si="5">F14*G14</f>
        <v>27.6</v>
      </c>
      <c r="I14" s="36">
        <v>28</v>
      </c>
      <c r="J14" s="36">
        <v>20</v>
      </c>
      <c r="K14" s="30">
        <f t="shared" si="2"/>
        <v>6.9</v>
      </c>
      <c r="L14" s="32">
        <f t="shared" si="3"/>
        <v>0.75</v>
      </c>
      <c r="M14" s="30">
        <f t="shared" si="4"/>
        <v>20.700000000000003</v>
      </c>
      <c r="N14" s="37" t="s">
        <v>86</v>
      </c>
      <c r="O14" s="53" t="s">
        <v>28</v>
      </c>
    </row>
    <row r="15" spans="1:18" s="5" customFormat="1" ht="65" customHeight="1" x14ac:dyDescent="0.2">
      <c r="A15" s="54">
        <v>5</v>
      </c>
      <c r="B15" s="29" t="s">
        <v>49</v>
      </c>
      <c r="C15" s="28">
        <v>1</v>
      </c>
      <c r="D15" s="30">
        <v>58.9</v>
      </c>
      <c r="E15" s="30">
        <f t="shared" si="0"/>
        <v>58.9</v>
      </c>
      <c r="F15" s="28">
        <v>1</v>
      </c>
      <c r="G15" s="30">
        <v>58.9</v>
      </c>
      <c r="H15" s="30">
        <f>F15*G15</f>
        <v>58.9</v>
      </c>
      <c r="I15" s="36">
        <v>28</v>
      </c>
      <c r="J15" s="36">
        <v>20</v>
      </c>
      <c r="K15" s="30">
        <f t="shared" si="2"/>
        <v>14.725</v>
      </c>
      <c r="L15" s="32">
        <f t="shared" si="3"/>
        <v>0.75</v>
      </c>
      <c r="M15" s="30">
        <f t="shared" si="4"/>
        <v>44.174999999999997</v>
      </c>
      <c r="N15" s="33" t="s">
        <v>86</v>
      </c>
      <c r="O15" s="53" t="s">
        <v>29</v>
      </c>
    </row>
    <row r="16" spans="1:18" s="5" customFormat="1" ht="65" customHeight="1" x14ac:dyDescent="0.2">
      <c r="A16" s="52">
        <v>6</v>
      </c>
      <c r="B16" s="34" t="s">
        <v>50</v>
      </c>
      <c r="C16" s="28">
        <v>4</v>
      </c>
      <c r="D16" s="35">
        <v>12.5</v>
      </c>
      <c r="E16" s="35">
        <f t="shared" si="0"/>
        <v>50</v>
      </c>
      <c r="F16" s="28">
        <v>4</v>
      </c>
      <c r="G16" s="35">
        <v>12.5</v>
      </c>
      <c r="H16" s="35">
        <f t="shared" ref="H16" si="6">F16*G16</f>
        <v>50</v>
      </c>
      <c r="I16" s="36">
        <v>28</v>
      </c>
      <c r="J16" s="36">
        <v>20</v>
      </c>
      <c r="K16" s="30">
        <f t="shared" si="2"/>
        <v>12.5</v>
      </c>
      <c r="L16" s="32">
        <f t="shared" si="3"/>
        <v>0.75</v>
      </c>
      <c r="M16" s="30">
        <f t="shared" si="4"/>
        <v>37.5</v>
      </c>
      <c r="N16" s="37" t="s">
        <v>86</v>
      </c>
      <c r="O16" s="53" t="s">
        <v>51</v>
      </c>
    </row>
    <row r="17" spans="1:15" s="5" customFormat="1" ht="65" customHeight="1" x14ac:dyDescent="0.2">
      <c r="A17" s="54">
        <v>7</v>
      </c>
      <c r="B17" s="29" t="s">
        <v>52</v>
      </c>
      <c r="C17" s="28">
        <v>4</v>
      </c>
      <c r="D17" s="30">
        <v>32.799999999999997</v>
      </c>
      <c r="E17" s="30">
        <f t="shared" si="0"/>
        <v>131.19999999999999</v>
      </c>
      <c r="F17" s="28">
        <v>4</v>
      </c>
      <c r="G17" s="30">
        <v>32.799999999999997</v>
      </c>
      <c r="H17" s="30">
        <f>F17*G17</f>
        <v>131.19999999999999</v>
      </c>
      <c r="I17" s="36">
        <v>28</v>
      </c>
      <c r="J17" s="36">
        <v>20</v>
      </c>
      <c r="K17" s="30">
        <f t="shared" si="2"/>
        <v>32.799999999999997</v>
      </c>
      <c r="L17" s="32">
        <f t="shared" si="3"/>
        <v>0.75</v>
      </c>
      <c r="M17" s="30">
        <f t="shared" si="4"/>
        <v>98.399999999999991</v>
      </c>
      <c r="N17" s="33" t="s">
        <v>86</v>
      </c>
      <c r="O17" s="53" t="s">
        <v>85</v>
      </c>
    </row>
    <row r="18" spans="1:15" s="5" customFormat="1" ht="65" customHeight="1" x14ac:dyDescent="0.2">
      <c r="A18" s="55">
        <v>8</v>
      </c>
      <c r="B18" s="39" t="s">
        <v>84</v>
      </c>
      <c r="C18" s="38">
        <v>255</v>
      </c>
      <c r="D18" s="40">
        <v>4.88</v>
      </c>
      <c r="E18" s="40">
        <f t="shared" si="0"/>
        <v>1244.3999999999999</v>
      </c>
      <c r="F18" s="38">
        <v>255</v>
      </c>
      <c r="G18" s="40">
        <v>1.34</v>
      </c>
      <c r="H18" s="40">
        <f t="shared" ref="H18" si="7">F18*G18</f>
        <v>341.70000000000005</v>
      </c>
      <c r="I18" s="41">
        <v>28</v>
      </c>
      <c r="J18" s="41">
        <v>20</v>
      </c>
      <c r="K18" s="40">
        <f t="shared" si="2"/>
        <v>85.425000000000011</v>
      </c>
      <c r="L18" s="42">
        <f t="shared" si="3"/>
        <v>0.75</v>
      </c>
      <c r="M18" s="40">
        <f t="shared" si="4"/>
        <v>256.27500000000003</v>
      </c>
      <c r="N18" s="43" t="s">
        <v>86</v>
      </c>
      <c r="O18" s="63" t="s">
        <v>93</v>
      </c>
    </row>
    <row r="19" spans="1:15" s="5" customFormat="1" ht="65" customHeight="1" x14ac:dyDescent="0.2">
      <c r="A19" s="54">
        <v>9</v>
      </c>
      <c r="B19" s="29" t="s">
        <v>83</v>
      </c>
      <c r="C19" s="28">
        <v>1</v>
      </c>
      <c r="D19" s="30">
        <v>75</v>
      </c>
      <c r="E19" s="30">
        <f t="shared" si="0"/>
        <v>75</v>
      </c>
      <c r="F19" s="28">
        <v>1</v>
      </c>
      <c r="G19" s="30">
        <v>75</v>
      </c>
      <c r="H19" s="30">
        <f>F19*G19</f>
        <v>75</v>
      </c>
      <c r="I19" s="31" t="s">
        <v>59</v>
      </c>
      <c r="J19" s="31" t="s">
        <v>59</v>
      </c>
      <c r="K19" s="30">
        <f t="shared" si="2"/>
        <v>75</v>
      </c>
      <c r="L19" s="32">
        <v>0</v>
      </c>
      <c r="M19" s="30">
        <f t="shared" si="4"/>
        <v>0</v>
      </c>
      <c r="N19" s="33" t="s">
        <v>59</v>
      </c>
      <c r="O19" s="53" t="s">
        <v>30</v>
      </c>
    </row>
    <row r="20" spans="1:15" s="5" customFormat="1" ht="65" customHeight="1" x14ac:dyDescent="0.2">
      <c r="A20" s="52">
        <v>10</v>
      </c>
      <c r="B20" s="34" t="s">
        <v>82</v>
      </c>
      <c r="C20" s="65">
        <v>1</v>
      </c>
      <c r="D20" s="35">
        <v>1779</v>
      </c>
      <c r="E20" s="35">
        <f t="shared" ref="E20:E27" si="8">C20*D20</f>
        <v>1779</v>
      </c>
      <c r="F20" s="65">
        <v>1</v>
      </c>
      <c r="G20" s="35">
        <v>1779</v>
      </c>
      <c r="H20" s="35">
        <f t="shared" ref="H20" si="9">F20*G20</f>
        <v>1779</v>
      </c>
      <c r="I20" s="36">
        <v>28</v>
      </c>
      <c r="J20" s="36">
        <v>20</v>
      </c>
      <c r="K20" s="35">
        <f t="shared" ref="K20:K27" si="10">H20*(1-L20)</f>
        <v>444.75</v>
      </c>
      <c r="L20" s="66">
        <f t="shared" ref="L20:L27" si="11">IF((I20/J20)&gt;=0.75,0.75,IF((I20/J20)&gt;=0.1,(I20/J20),IF((I20/J20)&lt;=0.1,0.1)))</f>
        <v>0.75</v>
      </c>
      <c r="M20" s="35">
        <f t="shared" ref="M20:M27" si="12">H20-K20</f>
        <v>1334.25</v>
      </c>
      <c r="N20" s="37" t="s">
        <v>86</v>
      </c>
      <c r="O20" s="67" t="s">
        <v>87</v>
      </c>
    </row>
    <row r="21" spans="1:15" s="5" customFormat="1" ht="65" customHeight="1" x14ac:dyDescent="0.2">
      <c r="A21" s="54">
        <v>11</v>
      </c>
      <c r="B21" s="29" t="s">
        <v>81</v>
      </c>
      <c r="C21" s="28">
        <v>1</v>
      </c>
      <c r="D21" s="30">
        <v>166.04</v>
      </c>
      <c r="E21" s="30">
        <f t="shared" si="8"/>
        <v>166.04</v>
      </c>
      <c r="F21" s="28">
        <v>1</v>
      </c>
      <c r="G21" s="30">
        <v>166.04</v>
      </c>
      <c r="H21" s="30">
        <f>F21*G21</f>
        <v>166.04</v>
      </c>
      <c r="I21" s="36">
        <v>28</v>
      </c>
      <c r="J21" s="36">
        <v>20</v>
      </c>
      <c r="K21" s="30">
        <f t="shared" si="10"/>
        <v>41.51</v>
      </c>
      <c r="L21" s="32">
        <f t="shared" si="11"/>
        <v>0.75</v>
      </c>
      <c r="M21" s="30">
        <f t="shared" si="12"/>
        <v>124.53</v>
      </c>
      <c r="N21" s="33" t="s">
        <v>86</v>
      </c>
      <c r="O21" s="53" t="s">
        <v>31</v>
      </c>
    </row>
    <row r="22" spans="1:15" s="5" customFormat="1" ht="65" customHeight="1" x14ac:dyDescent="0.2">
      <c r="A22" s="52">
        <v>12</v>
      </c>
      <c r="B22" s="34" t="s">
        <v>80</v>
      </c>
      <c r="C22" s="28">
        <v>1</v>
      </c>
      <c r="D22" s="35">
        <v>136.5</v>
      </c>
      <c r="E22" s="35">
        <f t="shared" si="8"/>
        <v>136.5</v>
      </c>
      <c r="F22" s="28">
        <v>1</v>
      </c>
      <c r="G22" s="35">
        <v>136.5</v>
      </c>
      <c r="H22" s="35">
        <f t="shared" ref="H22" si="13">F22*G22</f>
        <v>136.5</v>
      </c>
      <c r="I22" s="36">
        <v>28</v>
      </c>
      <c r="J22" s="36">
        <v>20</v>
      </c>
      <c r="K22" s="30">
        <f t="shared" si="10"/>
        <v>34.125</v>
      </c>
      <c r="L22" s="32">
        <f t="shared" si="11"/>
        <v>0.75</v>
      </c>
      <c r="M22" s="30">
        <f t="shared" si="12"/>
        <v>102.375</v>
      </c>
      <c r="N22" s="37" t="s">
        <v>86</v>
      </c>
      <c r="O22" s="53" t="s">
        <v>32</v>
      </c>
    </row>
    <row r="23" spans="1:15" s="5" customFormat="1" ht="65" customHeight="1" x14ac:dyDescent="0.2">
      <c r="A23" s="54">
        <v>13</v>
      </c>
      <c r="B23" s="29" t="s">
        <v>79</v>
      </c>
      <c r="C23" s="28">
        <v>1</v>
      </c>
      <c r="D23" s="30">
        <v>103.5</v>
      </c>
      <c r="E23" s="30">
        <f t="shared" si="8"/>
        <v>103.5</v>
      </c>
      <c r="F23" s="28">
        <v>1</v>
      </c>
      <c r="G23" s="30">
        <v>103.5</v>
      </c>
      <c r="H23" s="30">
        <f>F23*G23</f>
        <v>103.5</v>
      </c>
      <c r="I23" s="36">
        <v>28</v>
      </c>
      <c r="J23" s="36">
        <v>20</v>
      </c>
      <c r="K23" s="30">
        <f t="shared" si="10"/>
        <v>25.875</v>
      </c>
      <c r="L23" s="32">
        <f t="shared" si="11"/>
        <v>0.75</v>
      </c>
      <c r="M23" s="30">
        <f t="shared" si="12"/>
        <v>77.625</v>
      </c>
      <c r="N23" s="33" t="s">
        <v>86</v>
      </c>
      <c r="O23" s="53" t="s">
        <v>33</v>
      </c>
    </row>
    <row r="24" spans="1:15" s="5" customFormat="1" ht="65" customHeight="1" x14ac:dyDescent="0.2">
      <c r="A24" s="52">
        <v>14</v>
      </c>
      <c r="B24" s="34" t="s">
        <v>78</v>
      </c>
      <c r="C24" s="28">
        <v>1</v>
      </c>
      <c r="D24" s="35">
        <v>56.98</v>
      </c>
      <c r="E24" s="35">
        <f t="shared" si="8"/>
        <v>56.98</v>
      </c>
      <c r="F24" s="28">
        <v>1</v>
      </c>
      <c r="G24" s="35">
        <v>56.98</v>
      </c>
      <c r="H24" s="35">
        <f t="shared" ref="H24" si="14">F24*G24</f>
        <v>56.98</v>
      </c>
      <c r="I24" s="36">
        <v>28</v>
      </c>
      <c r="J24" s="36">
        <v>20</v>
      </c>
      <c r="K24" s="30">
        <f t="shared" si="10"/>
        <v>14.244999999999999</v>
      </c>
      <c r="L24" s="32">
        <f t="shared" si="11"/>
        <v>0.75</v>
      </c>
      <c r="M24" s="30">
        <f t="shared" si="12"/>
        <v>42.734999999999999</v>
      </c>
      <c r="N24" s="37" t="s">
        <v>86</v>
      </c>
      <c r="O24" s="53" t="s">
        <v>34</v>
      </c>
    </row>
    <row r="25" spans="1:15" s="5" customFormat="1" ht="65" customHeight="1" x14ac:dyDescent="0.2">
      <c r="A25" s="54">
        <v>15</v>
      </c>
      <c r="B25" s="29" t="s">
        <v>77</v>
      </c>
      <c r="C25" s="28">
        <v>1</v>
      </c>
      <c r="D25" s="30">
        <v>21.6</v>
      </c>
      <c r="E25" s="30">
        <f t="shared" si="8"/>
        <v>21.6</v>
      </c>
      <c r="F25" s="28">
        <v>1</v>
      </c>
      <c r="G25" s="30">
        <v>21.6</v>
      </c>
      <c r="H25" s="30">
        <f>F25*G25</f>
        <v>21.6</v>
      </c>
      <c r="I25" s="36">
        <v>28</v>
      </c>
      <c r="J25" s="36">
        <v>20</v>
      </c>
      <c r="K25" s="30">
        <f t="shared" si="10"/>
        <v>5.4</v>
      </c>
      <c r="L25" s="32">
        <f t="shared" si="11"/>
        <v>0.75</v>
      </c>
      <c r="M25" s="30">
        <f t="shared" si="12"/>
        <v>16.200000000000003</v>
      </c>
      <c r="N25" s="33" t="s">
        <v>86</v>
      </c>
      <c r="O25" s="53" t="s">
        <v>35</v>
      </c>
    </row>
    <row r="26" spans="1:15" s="5" customFormat="1" ht="65" customHeight="1" x14ac:dyDescent="0.2">
      <c r="A26" s="52">
        <v>16</v>
      </c>
      <c r="B26" s="34" t="s">
        <v>76</v>
      </c>
      <c r="C26" s="28">
        <v>1</v>
      </c>
      <c r="D26" s="35">
        <v>66.55</v>
      </c>
      <c r="E26" s="35">
        <f t="shared" si="8"/>
        <v>66.55</v>
      </c>
      <c r="F26" s="28">
        <v>1</v>
      </c>
      <c r="G26" s="35">
        <v>66.55</v>
      </c>
      <c r="H26" s="35">
        <f t="shared" ref="H26" si="15">F26*G26</f>
        <v>66.55</v>
      </c>
      <c r="I26" s="36">
        <v>28</v>
      </c>
      <c r="J26" s="36">
        <v>20</v>
      </c>
      <c r="K26" s="30">
        <f t="shared" si="10"/>
        <v>16.637499999999999</v>
      </c>
      <c r="L26" s="32">
        <f t="shared" si="11"/>
        <v>0.75</v>
      </c>
      <c r="M26" s="30">
        <f t="shared" si="12"/>
        <v>49.912499999999994</v>
      </c>
      <c r="N26" s="37" t="s">
        <v>86</v>
      </c>
      <c r="O26" s="53" t="s">
        <v>36</v>
      </c>
    </row>
    <row r="27" spans="1:15" s="5" customFormat="1" ht="65" customHeight="1" x14ac:dyDescent="0.2">
      <c r="A27" s="54">
        <v>17</v>
      </c>
      <c r="B27" s="29" t="s">
        <v>75</v>
      </c>
      <c r="C27" s="28">
        <v>1</v>
      </c>
      <c r="D27" s="30">
        <v>12.75</v>
      </c>
      <c r="E27" s="30">
        <f t="shared" si="8"/>
        <v>12.75</v>
      </c>
      <c r="F27" s="28">
        <v>1</v>
      </c>
      <c r="G27" s="30">
        <v>12.75</v>
      </c>
      <c r="H27" s="30">
        <f>F27*G27</f>
        <v>12.75</v>
      </c>
      <c r="I27" s="36">
        <v>28</v>
      </c>
      <c r="J27" s="36">
        <v>20</v>
      </c>
      <c r="K27" s="30">
        <f t="shared" si="10"/>
        <v>3.1875</v>
      </c>
      <c r="L27" s="32">
        <f t="shared" si="11"/>
        <v>0.75</v>
      </c>
      <c r="M27" s="30">
        <f t="shared" si="12"/>
        <v>9.5625</v>
      </c>
      <c r="N27" s="33" t="s">
        <v>86</v>
      </c>
      <c r="O27" s="53" t="s">
        <v>37</v>
      </c>
    </row>
    <row r="28" spans="1:15" s="5" customFormat="1" ht="65" customHeight="1" x14ac:dyDescent="0.2">
      <c r="A28" s="52">
        <v>18</v>
      </c>
      <c r="B28" s="34" t="s">
        <v>91</v>
      </c>
      <c r="C28" s="28">
        <v>1</v>
      </c>
      <c r="D28" s="35">
        <v>6.5</v>
      </c>
      <c r="E28" s="35">
        <f t="shared" ref="E28:E35" si="16">C28*D28</f>
        <v>6.5</v>
      </c>
      <c r="F28" s="28">
        <v>1</v>
      </c>
      <c r="G28" s="35">
        <v>6.5</v>
      </c>
      <c r="H28" s="35">
        <f t="shared" ref="H28" si="17">F28*G28</f>
        <v>6.5</v>
      </c>
      <c r="I28" s="36">
        <v>28</v>
      </c>
      <c r="J28" s="36">
        <v>20</v>
      </c>
      <c r="K28" s="30">
        <f t="shared" ref="K28:K35" si="18">H28*(1-L28)</f>
        <v>1.625</v>
      </c>
      <c r="L28" s="32">
        <f t="shared" ref="L28:L35" si="19">IF((I28/J28)&gt;=0.75,0.75,IF((I28/J28)&gt;=0.1,(I28/J28),IF((I28/J28)&lt;=0.1,0.1)))</f>
        <v>0.75</v>
      </c>
      <c r="M28" s="30">
        <f t="shared" ref="M28:M35" si="20">H28-K28</f>
        <v>4.875</v>
      </c>
      <c r="N28" s="37" t="s">
        <v>86</v>
      </c>
      <c r="O28" s="53" t="s">
        <v>38</v>
      </c>
    </row>
    <row r="29" spans="1:15" s="5" customFormat="1" ht="65" customHeight="1" x14ac:dyDescent="0.2">
      <c r="A29" s="54">
        <v>19</v>
      </c>
      <c r="B29" s="29" t="s">
        <v>74</v>
      </c>
      <c r="C29" s="28">
        <v>1</v>
      </c>
      <c r="D29" s="30">
        <v>69.900000000000006</v>
      </c>
      <c r="E29" s="30">
        <f t="shared" si="16"/>
        <v>69.900000000000006</v>
      </c>
      <c r="F29" s="28">
        <v>1</v>
      </c>
      <c r="G29" s="30">
        <v>69.900000000000006</v>
      </c>
      <c r="H29" s="30">
        <f>F29*G29</f>
        <v>69.900000000000006</v>
      </c>
      <c r="I29" s="36">
        <v>28</v>
      </c>
      <c r="J29" s="36">
        <v>20</v>
      </c>
      <c r="K29" s="30">
        <f t="shared" si="18"/>
        <v>17.475000000000001</v>
      </c>
      <c r="L29" s="32">
        <f t="shared" si="19"/>
        <v>0.75</v>
      </c>
      <c r="M29" s="30">
        <f t="shared" si="20"/>
        <v>52.425000000000004</v>
      </c>
      <c r="N29" s="33" t="s">
        <v>86</v>
      </c>
      <c r="O29" s="53" t="s">
        <v>39</v>
      </c>
    </row>
    <row r="30" spans="1:15" s="5" customFormat="1" ht="65" customHeight="1" x14ac:dyDescent="0.2">
      <c r="A30" s="52">
        <v>20</v>
      </c>
      <c r="B30" s="34" t="s">
        <v>92</v>
      </c>
      <c r="C30" s="28">
        <v>1</v>
      </c>
      <c r="D30" s="35">
        <v>59.9</v>
      </c>
      <c r="E30" s="35">
        <f t="shared" si="16"/>
        <v>59.9</v>
      </c>
      <c r="F30" s="28">
        <v>1</v>
      </c>
      <c r="G30" s="35">
        <v>59.9</v>
      </c>
      <c r="H30" s="35">
        <f t="shared" ref="H30" si="21">F30*G30</f>
        <v>59.9</v>
      </c>
      <c r="I30" s="36">
        <v>28</v>
      </c>
      <c r="J30" s="36">
        <v>20</v>
      </c>
      <c r="K30" s="30">
        <f t="shared" si="18"/>
        <v>14.975</v>
      </c>
      <c r="L30" s="32">
        <f t="shared" si="19"/>
        <v>0.75</v>
      </c>
      <c r="M30" s="30">
        <f t="shared" si="20"/>
        <v>44.924999999999997</v>
      </c>
      <c r="N30" s="37" t="s">
        <v>86</v>
      </c>
      <c r="O30" s="53" t="s">
        <v>73</v>
      </c>
    </row>
    <row r="31" spans="1:15" s="5" customFormat="1" ht="65" customHeight="1" x14ac:dyDescent="0.2">
      <c r="A31" s="54">
        <v>21</v>
      </c>
      <c r="B31" s="29" t="s">
        <v>71</v>
      </c>
      <c r="C31" s="28">
        <v>1</v>
      </c>
      <c r="D31" s="30">
        <v>19.899999999999999</v>
      </c>
      <c r="E31" s="30">
        <f t="shared" si="16"/>
        <v>19.899999999999999</v>
      </c>
      <c r="F31" s="28">
        <v>1</v>
      </c>
      <c r="G31" s="30">
        <v>19.899999999999999</v>
      </c>
      <c r="H31" s="30">
        <f>F31*G31</f>
        <v>19.899999999999999</v>
      </c>
      <c r="I31" s="36">
        <v>28</v>
      </c>
      <c r="J31" s="36">
        <v>20</v>
      </c>
      <c r="K31" s="30">
        <f t="shared" si="18"/>
        <v>4.9749999999999996</v>
      </c>
      <c r="L31" s="32">
        <f t="shared" si="19"/>
        <v>0.75</v>
      </c>
      <c r="M31" s="30">
        <f t="shared" si="20"/>
        <v>14.924999999999999</v>
      </c>
      <c r="N31" s="33" t="s">
        <v>86</v>
      </c>
      <c r="O31" s="53" t="s">
        <v>72</v>
      </c>
    </row>
    <row r="32" spans="1:15" s="5" customFormat="1" ht="65" customHeight="1" x14ac:dyDescent="0.2">
      <c r="A32" s="52">
        <v>22</v>
      </c>
      <c r="B32" s="34" t="s">
        <v>70</v>
      </c>
      <c r="C32" s="28">
        <v>2</v>
      </c>
      <c r="D32" s="35">
        <v>5.7</v>
      </c>
      <c r="E32" s="35">
        <f t="shared" si="16"/>
        <v>11.4</v>
      </c>
      <c r="F32" s="28">
        <v>2</v>
      </c>
      <c r="G32" s="35">
        <v>5.7</v>
      </c>
      <c r="H32" s="35">
        <f t="shared" ref="H32" si="22">F32*G32</f>
        <v>11.4</v>
      </c>
      <c r="I32" s="36">
        <v>28</v>
      </c>
      <c r="J32" s="36">
        <v>20</v>
      </c>
      <c r="K32" s="30">
        <f t="shared" si="18"/>
        <v>2.85</v>
      </c>
      <c r="L32" s="32">
        <f t="shared" si="19"/>
        <v>0.75</v>
      </c>
      <c r="M32" s="30">
        <f t="shared" si="20"/>
        <v>8.5500000000000007</v>
      </c>
      <c r="N32" s="37" t="s">
        <v>86</v>
      </c>
      <c r="O32" s="53" t="s">
        <v>69</v>
      </c>
    </row>
    <row r="33" spans="1:15" s="5" customFormat="1" ht="65" customHeight="1" x14ac:dyDescent="0.2">
      <c r="A33" s="54">
        <v>23</v>
      </c>
      <c r="B33" s="29" t="s">
        <v>67</v>
      </c>
      <c r="C33" s="28">
        <v>1</v>
      </c>
      <c r="D33" s="30">
        <v>36.5</v>
      </c>
      <c r="E33" s="30">
        <f t="shared" si="16"/>
        <v>36.5</v>
      </c>
      <c r="F33" s="28">
        <v>1</v>
      </c>
      <c r="G33" s="30">
        <v>36.5</v>
      </c>
      <c r="H33" s="30">
        <f>F33*G33</f>
        <v>36.5</v>
      </c>
      <c r="I33" s="36">
        <v>28</v>
      </c>
      <c r="J33" s="36">
        <v>20</v>
      </c>
      <c r="K33" s="30">
        <f t="shared" si="18"/>
        <v>9.125</v>
      </c>
      <c r="L33" s="32">
        <f t="shared" si="19"/>
        <v>0.75</v>
      </c>
      <c r="M33" s="30">
        <f t="shared" si="20"/>
        <v>27.375</v>
      </c>
      <c r="N33" s="33" t="s">
        <v>86</v>
      </c>
      <c r="O33" s="53" t="s">
        <v>40</v>
      </c>
    </row>
    <row r="34" spans="1:15" s="5" customFormat="1" ht="65" customHeight="1" x14ac:dyDescent="0.2">
      <c r="A34" s="52">
        <v>24</v>
      </c>
      <c r="B34" s="34" t="s">
        <v>65</v>
      </c>
      <c r="C34" s="28">
        <v>3</v>
      </c>
      <c r="D34" s="35">
        <v>3.95</v>
      </c>
      <c r="E34" s="35">
        <f t="shared" si="16"/>
        <v>11.850000000000001</v>
      </c>
      <c r="F34" s="28">
        <v>3</v>
      </c>
      <c r="G34" s="35">
        <v>3.95</v>
      </c>
      <c r="H34" s="35">
        <f t="shared" ref="H34" si="23">F34*G34</f>
        <v>11.850000000000001</v>
      </c>
      <c r="I34" s="36">
        <v>28</v>
      </c>
      <c r="J34" s="36">
        <v>20</v>
      </c>
      <c r="K34" s="30">
        <f t="shared" si="18"/>
        <v>2.9625000000000004</v>
      </c>
      <c r="L34" s="32">
        <f t="shared" si="19"/>
        <v>0.75</v>
      </c>
      <c r="M34" s="30">
        <f t="shared" si="20"/>
        <v>8.8875000000000011</v>
      </c>
      <c r="N34" s="37" t="s">
        <v>86</v>
      </c>
      <c r="O34" s="53" t="s">
        <v>68</v>
      </c>
    </row>
    <row r="35" spans="1:15" s="5" customFormat="1" ht="65" customHeight="1" x14ac:dyDescent="0.2">
      <c r="A35" s="54">
        <v>25</v>
      </c>
      <c r="B35" s="29" t="s">
        <v>63</v>
      </c>
      <c r="C35" s="28">
        <v>1</v>
      </c>
      <c r="D35" s="30">
        <v>98</v>
      </c>
      <c r="E35" s="30">
        <f t="shared" si="16"/>
        <v>98</v>
      </c>
      <c r="F35" s="28">
        <v>1</v>
      </c>
      <c r="G35" s="30">
        <v>98</v>
      </c>
      <c r="H35" s="30">
        <f>F35*G35</f>
        <v>98</v>
      </c>
      <c r="I35" s="36">
        <v>28</v>
      </c>
      <c r="J35" s="36">
        <v>20</v>
      </c>
      <c r="K35" s="30">
        <f t="shared" si="18"/>
        <v>24.5</v>
      </c>
      <c r="L35" s="32">
        <f t="shared" si="19"/>
        <v>0.75</v>
      </c>
      <c r="M35" s="30">
        <f t="shared" si="20"/>
        <v>73.5</v>
      </c>
      <c r="N35" s="33" t="s">
        <v>86</v>
      </c>
      <c r="O35" s="53" t="s">
        <v>66</v>
      </c>
    </row>
    <row r="36" spans="1:15" s="5" customFormat="1" ht="65" customHeight="1" x14ac:dyDescent="0.2">
      <c r="A36" s="55">
        <v>26</v>
      </c>
      <c r="B36" s="39" t="s">
        <v>89</v>
      </c>
      <c r="C36" s="38">
        <v>1</v>
      </c>
      <c r="D36" s="40">
        <v>795</v>
      </c>
      <c r="E36" s="40">
        <f t="shared" ref="E36:E43" si="24">C36*D36</f>
        <v>795</v>
      </c>
      <c r="F36" s="68">
        <v>255</v>
      </c>
      <c r="G36" s="69">
        <v>0.76329999999999998</v>
      </c>
      <c r="H36" s="40">
        <f t="shared" ref="H36" si="25">F36*G36</f>
        <v>194.64150000000001</v>
      </c>
      <c r="I36" s="41">
        <v>28</v>
      </c>
      <c r="J36" s="41">
        <v>20</v>
      </c>
      <c r="K36" s="40">
        <f t="shared" ref="K36:K43" si="26">H36*(1-L36)</f>
        <v>48.660375000000002</v>
      </c>
      <c r="L36" s="42">
        <f t="shared" ref="L36:L39" si="27">IF((I36/J36)&gt;=0.75,0.75,IF((I36/J36)&gt;=0.1,(I36/J36),IF((I36/J36)&lt;=0.1,0.1)))</f>
        <v>0.75</v>
      </c>
      <c r="M36" s="40">
        <f t="shared" ref="M36:M43" si="28">H36-K36</f>
        <v>145.98112500000002</v>
      </c>
      <c r="N36" s="43" t="s">
        <v>86</v>
      </c>
      <c r="O36" s="63" t="s">
        <v>94</v>
      </c>
    </row>
    <row r="37" spans="1:15" s="5" customFormat="1" ht="102" x14ac:dyDescent="0.2">
      <c r="A37" s="55">
        <v>27</v>
      </c>
      <c r="B37" s="39" t="s">
        <v>64</v>
      </c>
      <c r="C37" s="38">
        <v>1</v>
      </c>
      <c r="D37" s="40">
        <v>1295</v>
      </c>
      <c r="E37" s="40">
        <f t="shared" si="24"/>
        <v>1295</v>
      </c>
      <c r="F37" s="38">
        <v>0</v>
      </c>
      <c r="G37" s="40">
        <v>0</v>
      </c>
      <c r="H37" s="40">
        <f>F37*G37</f>
        <v>0</v>
      </c>
      <c r="I37" s="41" t="s">
        <v>59</v>
      </c>
      <c r="J37" s="41" t="s">
        <v>59</v>
      </c>
      <c r="K37" s="40">
        <f t="shared" si="26"/>
        <v>0</v>
      </c>
      <c r="L37" s="42">
        <v>0</v>
      </c>
      <c r="M37" s="40">
        <f t="shared" si="28"/>
        <v>0</v>
      </c>
      <c r="N37" s="43" t="s">
        <v>59</v>
      </c>
      <c r="O37" s="63" t="s">
        <v>90</v>
      </c>
    </row>
    <row r="38" spans="1:15" s="5" customFormat="1" ht="65" customHeight="1" x14ac:dyDescent="0.2">
      <c r="A38" s="52">
        <v>28</v>
      </c>
      <c r="B38" s="34" t="s">
        <v>53</v>
      </c>
      <c r="C38" s="28">
        <v>1</v>
      </c>
      <c r="D38" s="35">
        <v>77.92</v>
      </c>
      <c r="E38" s="35">
        <f t="shared" si="24"/>
        <v>77.92</v>
      </c>
      <c r="F38" s="28">
        <v>1</v>
      </c>
      <c r="G38" s="35">
        <v>77.92</v>
      </c>
      <c r="H38" s="35">
        <f t="shared" ref="H38" si="29">F38*G38</f>
        <v>77.92</v>
      </c>
      <c r="I38" s="36">
        <v>28</v>
      </c>
      <c r="J38" s="36">
        <v>20</v>
      </c>
      <c r="K38" s="30">
        <f t="shared" si="26"/>
        <v>19.48</v>
      </c>
      <c r="L38" s="32">
        <f t="shared" si="27"/>
        <v>0.75</v>
      </c>
      <c r="M38" s="30">
        <f t="shared" si="28"/>
        <v>58.44</v>
      </c>
      <c r="N38" s="37" t="s">
        <v>86</v>
      </c>
      <c r="O38" s="53" t="s">
        <v>54</v>
      </c>
    </row>
    <row r="39" spans="1:15" s="5" customFormat="1" ht="65" customHeight="1" x14ac:dyDescent="0.2">
      <c r="A39" s="54">
        <v>29</v>
      </c>
      <c r="B39" s="29" t="s">
        <v>62</v>
      </c>
      <c r="C39" s="28">
        <v>1</v>
      </c>
      <c r="D39" s="30">
        <v>438</v>
      </c>
      <c r="E39" s="30">
        <f t="shared" si="24"/>
        <v>438</v>
      </c>
      <c r="F39" s="28">
        <v>1</v>
      </c>
      <c r="G39" s="30">
        <v>438</v>
      </c>
      <c r="H39" s="30">
        <f>F39*G39</f>
        <v>438</v>
      </c>
      <c r="I39" s="36">
        <v>28</v>
      </c>
      <c r="J39" s="36">
        <v>20</v>
      </c>
      <c r="K39" s="30">
        <f t="shared" si="26"/>
        <v>109.5</v>
      </c>
      <c r="L39" s="32">
        <f t="shared" si="27"/>
        <v>0.75</v>
      </c>
      <c r="M39" s="30">
        <f t="shared" si="28"/>
        <v>328.5</v>
      </c>
      <c r="N39" s="33" t="s">
        <v>86</v>
      </c>
      <c r="O39" s="53" t="s">
        <v>57</v>
      </c>
    </row>
    <row r="40" spans="1:15" s="5" customFormat="1" ht="65" customHeight="1" x14ac:dyDescent="0.2">
      <c r="A40" s="52">
        <v>30</v>
      </c>
      <c r="B40" s="34" t="s">
        <v>60</v>
      </c>
      <c r="C40" s="28">
        <v>1</v>
      </c>
      <c r="D40" s="35">
        <v>312.5</v>
      </c>
      <c r="E40" s="35">
        <f t="shared" si="24"/>
        <v>312.5</v>
      </c>
      <c r="F40" s="28">
        <v>1</v>
      </c>
      <c r="G40" s="35">
        <v>312.5</v>
      </c>
      <c r="H40" s="35">
        <f t="shared" ref="H40" si="30">F40*G40</f>
        <v>312.5</v>
      </c>
      <c r="I40" s="31" t="s">
        <v>59</v>
      </c>
      <c r="J40" s="31" t="s">
        <v>59</v>
      </c>
      <c r="K40" s="30">
        <f t="shared" si="26"/>
        <v>312.5</v>
      </c>
      <c r="L40" s="32">
        <v>0</v>
      </c>
      <c r="M40" s="30">
        <f t="shared" si="28"/>
        <v>0</v>
      </c>
      <c r="N40" s="37" t="s">
        <v>59</v>
      </c>
      <c r="O40" s="53" t="s">
        <v>61</v>
      </c>
    </row>
    <row r="41" spans="1:15" s="5" customFormat="1" ht="65" customHeight="1" x14ac:dyDescent="0.2">
      <c r="A41" s="54">
        <v>31</v>
      </c>
      <c r="B41" s="29" t="s">
        <v>41</v>
      </c>
      <c r="C41" s="28">
        <v>6</v>
      </c>
      <c r="D41" s="30">
        <v>165</v>
      </c>
      <c r="E41" s="30">
        <f t="shared" si="24"/>
        <v>990</v>
      </c>
      <c r="F41" s="28">
        <v>6</v>
      </c>
      <c r="G41" s="30">
        <v>165</v>
      </c>
      <c r="H41" s="30">
        <f>F41*G41</f>
        <v>990</v>
      </c>
      <c r="I41" s="31" t="s">
        <v>59</v>
      </c>
      <c r="J41" s="31" t="s">
        <v>59</v>
      </c>
      <c r="K41" s="30">
        <f t="shared" si="26"/>
        <v>990</v>
      </c>
      <c r="L41" s="32">
        <v>0</v>
      </c>
      <c r="M41" s="30">
        <f t="shared" si="28"/>
        <v>0</v>
      </c>
      <c r="N41" s="33" t="s">
        <v>59</v>
      </c>
      <c r="O41" s="53" t="s">
        <v>56</v>
      </c>
    </row>
    <row r="42" spans="1:15" s="5" customFormat="1" ht="65" customHeight="1" x14ac:dyDescent="0.2">
      <c r="A42" s="52">
        <v>32</v>
      </c>
      <c r="B42" s="29" t="s">
        <v>42</v>
      </c>
      <c r="C42" s="28">
        <v>6</v>
      </c>
      <c r="D42" s="35">
        <v>155</v>
      </c>
      <c r="E42" s="35">
        <f t="shared" si="24"/>
        <v>930</v>
      </c>
      <c r="F42" s="28">
        <v>6</v>
      </c>
      <c r="G42" s="35">
        <v>155</v>
      </c>
      <c r="H42" s="35">
        <f t="shared" ref="H42" si="31">F42*G42</f>
        <v>930</v>
      </c>
      <c r="I42" s="36" t="s">
        <v>59</v>
      </c>
      <c r="J42" s="36" t="s">
        <v>59</v>
      </c>
      <c r="K42" s="30">
        <f t="shared" si="26"/>
        <v>930</v>
      </c>
      <c r="L42" s="32">
        <v>0</v>
      </c>
      <c r="M42" s="30">
        <f t="shared" si="28"/>
        <v>0</v>
      </c>
      <c r="N42" s="37" t="s">
        <v>59</v>
      </c>
      <c r="O42" s="53" t="s">
        <v>55</v>
      </c>
    </row>
    <row r="43" spans="1:15" s="5" customFormat="1" ht="65" customHeight="1" thickBot="1" x14ac:dyDescent="0.25">
      <c r="A43" s="56">
        <v>33</v>
      </c>
      <c r="B43" s="57" t="s">
        <v>43</v>
      </c>
      <c r="C43" s="58">
        <v>-1</v>
      </c>
      <c r="D43" s="59">
        <v>0.08</v>
      </c>
      <c r="E43" s="59">
        <f t="shared" si="24"/>
        <v>-0.08</v>
      </c>
      <c r="F43" s="58">
        <v>-1</v>
      </c>
      <c r="G43" s="59">
        <v>0.08</v>
      </c>
      <c r="H43" s="59">
        <f>F43*G43</f>
        <v>-0.08</v>
      </c>
      <c r="I43" s="60" t="s">
        <v>59</v>
      </c>
      <c r="J43" s="60" t="s">
        <v>59</v>
      </c>
      <c r="K43" s="59">
        <f t="shared" si="26"/>
        <v>-0.08</v>
      </c>
      <c r="L43" s="61">
        <v>0</v>
      </c>
      <c r="M43" s="59">
        <f t="shared" si="28"/>
        <v>0</v>
      </c>
      <c r="N43" s="62" t="s">
        <v>59</v>
      </c>
      <c r="O43" s="64" t="s">
        <v>58</v>
      </c>
    </row>
    <row r="44" spans="1:15" s="5" customFormat="1" ht="18" customHeight="1" thickBot="1" x14ac:dyDescent="0.25">
      <c r="A44" s="103" t="s">
        <v>15</v>
      </c>
      <c r="B44" s="104"/>
      <c r="C44" s="104"/>
      <c r="D44" s="105"/>
      <c r="E44" s="14">
        <f>SUM(E11:E43)</f>
        <v>11681.16</v>
      </c>
      <c r="F44" s="15"/>
      <c r="G44" s="16"/>
      <c r="H44" s="17">
        <f>SUM(H11:H43)</f>
        <v>8883.1014999999989</v>
      </c>
      <c r="I44" s="106"/>
      <c r="J44" s="107"/>
      <c r="K44" s="18">
        <f>SUM(K11:K43)</f>
        <v>3951.3403749999998</v>
      </c>
      <c r="L44" s="18"/>
      <c r="M44" s="18">
        <f>SUM(M11:M43)</f>
        <v>4931.7611250000009</v>
      </c>
      <c r="N44"/>
    </row>
    <row r="45" spans="1:15" s="5" customFormat="1" ht="18" customHeight="1" x14ac:dyDescent="0.2">
      <c r="A45" s="110" t="s">
        <v>16</v>
      </c>
      <c r="B45" s="111"/>
      <c r="C45" s="111"/>
      <c r="D45" s="112"/>
      <c r="E45" s="19">
        <v>0</v>
      </c>
      <c r="F45" s="20"/>
      <c r="G45" s="21"/>
      <c r="H45" s="19">
        <v>0</v>
      </c>
      <c r="I45" s="113"/>
      <c r="J45" s="114"/>
      <c r="K45" s="22">
        <v>0</v>
      </c>
      <c r="L45" s="22"/>
      <c r="M45" s="22">
        <v>0</v>
      </c>
      <c r="N45"/>
    </row>
    <row r="46" spans="1:15" s="5" customFormat="1" ht="18" customHeight="1" thickBot="1" x14ac:dyDescent="0.25">
      <c r="A46" s="110" t="s">
        <v>14</v>
      </c>
      <c r="B46" s="111"/>
      <c r="C46" s="111"/>
      <c r="D46" s="112"/>
      <c r="E46" s="23">
        <f>SUM(E44:E45)</f>
        <v>11681.16</v>
      </c>
      <c r="F46" s="24"/>
      <c r="G46" s="25"/>
      <c r="H46" s="23">
        <f>SUM(H44,H45)</f>
        <v>8883.1014999999989</v>
      </c>
      <c r="I46" s="115"/>
      <c r="J46" s="116"/>
      <c r="K46" s="26">
        <f>SUM(K44:K45)</f>
        <v>3951.3403749999998</v>
      </c>
      <c r="L46" s="26"/>
      <c r="M46" s="26">
        <f>SUM(M44:M45)</f>
        <v>4931.7611250000009</v>
      </c>
      <c r="N46"/>
    </row>
    <row r="47" spans="1:15" ht="12.75" customHeight="1" x14ac:dyDescent="0.2">
      <c r="A47" s="92"/>
      <c r="B47" s="92"/>
      <c r="C47" s="1"/>
      <c r="D47" s="1"/>
      <c r="E47" s="1"/>
      <c r="F47" s="1"/>
      <c r="G47" s="1"/>
      <c r="H47" s="1"/>
      <c r="I47" s="1"/>
      <c r="J47" s="1"/>
      <c r="K47" s="1"/>
      <c r="L47" s="1"/>
      <c r="M47" s="1"/>
      <c r="N47" s="1"/>
    </row>
    <row r="49" spans="2:12" x14ac:dyDescent="0.2">
      <c r="B49" s="70" t="s">
        <v>17</v>
      </c>
      <c r="C49" s="71"/>
      <c r="D49" s="72"/>
      <c r="E49" s="76">
        <f>E46</f>
        <v>11681.16</v>
      </c>
    </row>
    <row r="50" spans="2:12" x14ac:dyDescent="0.2">
      <c r="B50" s="73"/>
      <c r="C50" s="74"/>
      <c r="D50" s="75"/>
      <c r="E50" s="78"/>
      <c r="H50" s="27"/>
    </row>
    <row r="52" spans="2:12" x14ac:dyDescent="0.2">
      <c r="B52" s="70" t="s">
        <v>18</v>
      </c>
      <c r="C52" s="71"/>
      <c r="D52" s="72"/>
      <c r="E52" s="76">
        <f>H46</f>
        <v>8883.1014999999989</v>
      </c>
    </row>
    <row r="53" spans="2:12" x14ac:dyDescent="0.2">
      <c r="B53" s="73"/>
      <c r="C53" s="74"/>
      <c r="D53" s="75"/>
      <c r="E53" s="78"/>
    </row>
    <row r="55" spans="2:12" hidden="1" x14ac:dyDescent="0.2">
      <c r="B55" s="70" t="s">
        <v>19</v>
      </c>
      <c r="C55" s="71"/>
      <c r="D55" s="72"/>
      <c r="E55" s="76">
        <f>K46</f>
        <v>3951.3403749999998</v>
      </c>
    </row>
    <row r="56" spans="2:12" hidden="1" x14ac:dyDescent="0.2">
      <c r="B56" s="73"/>
      <c r="C56" s="74"/>
      <c r="D56" s="75"/>
      <c r="E56" s="78"/>
      <c r="I56" s="8"/>
      <c r="J56" s="8"/>
      <c r="K56" s="8"/>
      <c r="L56" s="8"/>
    </row>
    <row r="57" spans="2:12" hidden="1" x14ac:dyDescent="0.2">
      <c r="I57" s="8"/>
      <c r="J57" s="8"/>
      <c r="K57" s="8"/>
      <c r="L57" s="8"/>
    </row>
    <row r="58" spans="2:12" hidden="1" x14ac:dyDescent="0.2">
      <c r="B58" s="70" t="s">
        <v>20</v>
      </c>
      <c r="C58" s="71"/>
      <c r="D58" s="72"/>
      <c r="E58" s="76">
        <f>M46</f>
        <v>4931.7611250000009</v>
      </c>
    </row>
    <row r="59" spans="2:12" hidden="1" x14ac:dyDescent="0.2">
      <c r="B59" s="73"/>
      <c r="C59" s="74"/>
      <c r="D59" s="75"/>
      <c r="E59" s="77"/>
    </row>
  </sheetData>
  <mergeCells count="33">
    <mergeCell ref="A45:D45"/>
    <mergeCell ref="I45:J45"/>
    <mergeCell ref="A46:D46"/>
    <mergeCell ref="I46:J46"/>
    <mergeCell ref="G4:H5"/>
    <mergeCell ref="A47:B47"/>
    <mergeCell ref="F9:H9"/>
    <mergeCell ref="A9:A10"/>
    <mergeCell ref="A8:O8"/>
    <mergeCell ref="C9:E9"/>
    <mergeCell ref="B9:B10"/>
    <mergeCell ref="A44:D44"/>
    <mergeCell ref="I44:J44"/>
    <mergeCell ref="L9:L10"/>
    <mergeCell ref="O9:O10"/>
    <mergeCell ref="I9:I10"/>
    <mergeCell ref="J9:J10"/>
    <mergeCell ref="K9:K10"/>
    <mergeCell ref="M9:M10"/>
    <mergeCell ref="N9:N10"/>
    <mergeCell ref="A1:E1"/>
    <mergeCell ref="A2:E2"/>
    <mergeCell ref="A3:E3"/>
    <mergeCell ref="A4:E4"/>
    <mergeCell ref="A5:E5"/>
    <mergeCell ref="B58:D59"/>
    <mergeCell ref="E58:E59"/>
    <mergeCell ref="B49:D50"/>
    <mergeCell ref="B52:D53"/>
    <mergeCell ref="B55:D56"/>
    <mergeCell ref="E55:E56"/>
    <mergeCell ref="E49:E50"/>
    <mergeCell ref="E52:E53"/>
  </mergeCells>
  <phoneticPr fontId="1" type="noConversion"/>
  <pageMargins left="0.25" right="0.25" top="0.75" bottom="0.75" header="0.3" footer="0.3"/>
  <pageSetup scale="55" fitToHeight="20" orientation="landscape" horizontalDpi="300" verticalDpi="1200" r:id="rId1"/>
  <headerFooter alignWithMargins="0">
    <oddFooter>&amp;C&amp;"Times New Roman,Regular"Page &amp;P of &amp;N
© 2022 by Loss Solutions Group, LLC. All rights reserved.</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sheetData/>
  <phoneticPr fontId="1"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3" x14ac:dyDescent="0.15"/>
  <sheetData/>
  <phoneticPr fontId="1" type="noConversion"/>
  <pageMargins left="0.75" right="0.75" top="1" bottom="1" header="0.5" footer="0.5"/>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Loss Solutions Group</dc:creator>
  <cp:keywords/>
  <dc:description/>
  <cp:lastModifiedBy>Emma Muhleman</cp:lastModifiedBy>
  <cp:revision/>
  <dcterms:created xsi:type="dcterms:W3CDTF">2007-08-27T01:37:34Z</dcterms:created>
  <dcterms:modified xsi:type="dcterms:W3CDTF">2026-02-17T18:17:35Z</dcterms:modified>
  <cp:category/>
  <cp:contentStatus/>
</cp:coreProperties>
</file>