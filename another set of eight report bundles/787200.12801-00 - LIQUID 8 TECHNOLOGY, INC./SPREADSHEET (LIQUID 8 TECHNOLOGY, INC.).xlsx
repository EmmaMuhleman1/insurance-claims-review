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Liquid 8 technology, inc/"/>
    </mc:Choice>
  </mc:AlternateContent>
  <xr:revisionPtr revIDLastSave="0" documentId="13_ncr:1_{BBB947B6-9A2C-C248-85A5-EF5BAEB0B8AF}" xr6:coauthVersionLast="47" xr6:coauthVersionMax="47" xr10:uidLastSave="{00000000-0000-0000-0000-000000000000}"/>
  <bookViews>
    <workbookView xWindow="11500" yWindow="306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7" i="1" l="1"/>
  <c r="K17" i="1"/>
  <c r="H17" i="1"/>
  <c r="F11" i="1"/>
  <c r="H11" i="1" s="1"/>
  <c r="C11" i="1"/>
  <c r="L13" i="1"/>
  <c r="L14" i="1"/>
  <c r="L15" i="1"/>
  <c r="E13" i="1"/>
  <c r="H13" i="1"/>
  <c r="E14" i="1"/>
  <c r="H14" i="1"/>
  <c r="E15" i="1"/>
  <c r="H15" i="1"/>
  <c r="E11" i="1"/>
  <c r="K14" i="1" l="1"/>
  <c r="M14" i="1" s="1"/>
  <c r="K13" i="1"/>
  <c r="M13" i="1" s="1"/>
  <c r="K15" i="1"/>
  <c r="M15" i="1" s="1"/>
  <c r="K11" i="1"/>
  <c r="E12" i="1" l="1"/>
  <c r="H12" i="1"/>
  <c r="K12" i="1" s="1"/>
  <c r="E16" i="1" l="1"/>
  <c r="E18" i="1" s="1"/>
  <c r="E21" i="1" s="1"/>
  <c r="M12" i="1"/>
  <c r="H16" i="1" l="1"/>
  <c r="H18" i="1" s="1"/>
  <c r="E24" i="1" s="1"/>
  <c r="K16" i="1"/>
  <c r="K18" i="1" s="1"/>
  <c r="E27" i="1" s="1"/>
  <c r="M11" i="1" l="1"/>
  <c r="M16" i="1" s="1"/>
  <c r="M18" i="1" s="1"/>
  <c r="E30" i="1" s="1"/>
</calcChain>
</file>

<file path=xl/sharedStrings.xml><?xml version="1.0" encoding="utf-8"?>
<sst xmlns="http://schemas.openxmlformats.org/spreadsheetml/2006/main" count="47" uniqueCount="38">
  <si>
    <t>COLOR DENOTES PRICING DISCREPANCY</t>
  </si>
  <si>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</si>
  <si>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</si>
  <si>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</si>
  <si>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</si>
  <si>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</si>
  <si>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</si>
  <si>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</si>
  <si>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</si>
  <si>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</si>
  <si>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</si>
  <si>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</si>
  <si>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</si>
  <si>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</si>
  <si>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</si>
  <si>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</si>
  <si>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SALES TAX</t>
  </si>
  <si>
    <t>TOTAL PRESENTED</t>
  </si>
  <si>
    <t>TOTAL RESEARCHED RCV</t>
  </si>
  <si>
    <t>TOTAL ACV</t>
  </si>
  <si>
    <t>TOTAL DEPRECIATION</t>
  </si>
  <si>
    <t>LABOR FOR THREE TECHNICIANS FOR 24 HOURS EACH</t>
  </si>
  <si>
    <t>LABOR FOR THREE TECHNICIANS FOR 24 HOURS EACH TOTALING TO 72 HOURS.</t>
  </si>
  <si>
    <t>MATERIALS</t>
  </si>
  <si>
    <t>D.M. MECHANICAL SERVICES, INC. (631-256-3055) PROPOSAL # 25286</t>
  </si>
  <si>
    <t>GATE ARM MOTOR</t>
  </si>
  <si>
    <t>COSMETIC REPAIRS</t>
  </si>
  <si>
    <t>N/A</t>
  </si>
  <si>
    <t>INSURED: LIQUID 8 TECHNOLOGY, INC.</t>
  </si>
  <si>
    <t xml:space="preserve">LSG MATTER #: 787200.12801-00 </t>
  </si>
  <si>
    <t>CLAIM #: F8J0848</t>
  </si>
  <si>
    <t>DATE OF LOSS: 9/8/2025</t>
  </si>
  <si>
    <t>CAUSE OF LOSS: VEHICLE ACCIDENTS</t>
  </si>
  <si>
    <t xml:space="preserve">MATERIALS NEEDED TO REPAIR THE DAMAGED UNIT. THIS PRICE WAS GIVEN TO US IN A LUMP SUM COST. WITH HELP FROM THE VENDOR WE WERE ABLE TO BREAK THIS COST DOWN AS FOLLOWS. </t>
  </si>
  <si>
    <t>GEARBOX AND SHAFT</t>
  </si>
  <si>
    <t>SECURE USA GEARBOX AND SHAFT ASSEMBLY</t>
  </si>
  <si>
    <t>BONDO AND PAINT</t>
  </si>
  <si>
    <t>GATE ARM MOTOR (LEESON BRANDED 1/3 HORSEPOWER MOTOR)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</si>
</sst>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00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44" fontId="7" fillId="0" borderId="0" xfId="0" applyNumberFormat="1" applyFont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44" fontId="6" fillId="0" borderId="13" xfId="0" applyNumberFormat="1" applyFont="1" applyBorder="1" applyAlignment="1">
      <alignment horizontal="center" vertical="center"/>
    </xf>
    <xf numFmtId="44" fontId="6" fillId="4" borderId="13" xfId="1" applyFont="1" applyFill="1" applyBorder="1" applyAlignment="1">
      <alignment horizontal="center" vertical="center"/>
    </xf>
    <xf numFmtId="44" fontId="7" fillId="4" borderId="15" xfId="1" applyFont="1" applyFill="1" applyBorder="1" applyAlignment="1"/>
    <xf numFmtId="44" fontId="6" fillId="4" borderId="15" xfId="1" applyFont="1" applyFill="1" applyBorder="1" applyAlignment="1"/>
    <xf numFmtId="44" fontId="6" fillId="4" borderId="13" xfId="1" applyFont="1" applyFill="1" applyBorder="1" applyAlignment="1"/>
    <xf numFmtId="0" fontId="7" fillId="4" borderId="16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left" wrapText="1"/>
    </xf>
    <xf numFmtId="44" fontId="7" fillId="4" borderId="16" xfId="1" applyFont="1" applyFill="1" applyBorder="1" applyAlignment="1">
      <alignment horizontal="center"/>
    </xf>
    <xf numFmtId="0" fontId="7" fillId="4" borderId="16" xfId="1" applyNumberFormat="1" applyFont="1" applyFill="1" applyBorder="1" applyAlignment="1">
      <alignment horizontal="center"/>
    </xf>
    <xf numFmtId="9" fontId="7" fillId="4" borderId="16" xfId="6" applyFont="1" applyFill="1" applyBorder="1" applyAlignment="1">
      <alignment horizontal="center"/>
    </xf>
    <xf numFmtId="0" fontId="7" fillId="4" borderId="16" xfId="1" applyNumberFormat="1" applyFont="1" applyFill="1" applyBorder="1" applyAlignment="1">
      <alignment horizontal="center" wrapText="1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horizontal="center"/>
    </xf>
    <xf numFmtId="44" fontId="7" fillId="2" borderId="18" xfId="1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/>
    </xf>
    <xf numFmtId="9" fontId="7" fillId="2" borderId="18" xfId="6" applyFont="1" applyFill="1" applyBorder="1" applyAlignment="1">
      <alignment horizontal="center"/>
    </xf>
    <xf numFmtId="0" fontId="7" fillId="2" borderId="18" xfId="1" applyNumberFormat="1" applyFont="1" applyFill="1" applyBorder="1" applyAlignment="1">
      <alignment horizontal="center" wrapText="1"/>
    </xf>
    <xf numFmtId="0" fontId="7" fillId="2" borderId="19" xfId="0" applyFont="1" applyFill="1" applyBorder="1" applyAlignment="1">
      <alignment horizontal="left" wrapText="1"/>
    </xf>
    <xf numFmtId="0" fontId="7" fillId="4" borderId="20" xfId="0" applyFont="1" applyFill="1" applyBorder="1" applyAlignment="1">
      <alignment horizontal="center"/>
    </xf>
    <xf numFmtId="0" fontId="7" fillId="4" borderId="21" xfId="0" applyFont="1" applyFill="1" applyBorder="1" applyAlignment="1">
      <alignment horizontal="left" wrapText="1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left" wrapText="1"/>
    </xf>
    <xf numFmtId="0" fontId="7" fillId="2" borderId="23" xfId="0" applyFont="1" applyFill="1" applyBorder="1" applyAlignment="1">
      <alignment horizontal="center"/>
    </xf>
    <xf numFmtId="44" fontId="7" fillId="0" borderId="23" xfId="1" applyFont="1" applyFill="1" applyBorder="1" applyAlignment="1">
      <alignment horizontal="center"/>
    </xf>
    <xf numFmtId="0" fontId="7" fillId="0" borderId="23" xfId="1" applyNumberFormat="1" applyFont="1" applyFill="1" applyBorder="1" applyAlignment="1">
      <alignment horizontal="center"/>
    </xf>
    <xf numFmtId="44" fontId="7" fillId="2" borderId="23" xfId="1" applyFont="1" applyFill="1" applyBorder="1" applyAlignment="1">
      <alignment horizontal="center"/>
    </xf>
    <xf numFmtId="9" fontId="7" fillId="2" borderId="23" xfId="6" applyFont="1" applyFill="1" applyBorder="1" applyAlignment="1">
      <alignment horizontal="center"/>
    </xf>
    <xf numFmtId="0" fontId="7" fillId="0" borderId="23" xfId="1" applyNumberFormat="1" applyFont="1" applyFill="1" applyBorder="1" applyAlignment="1">
      <alignment horizontal="center" wrapText="1"/>
    </xf>
    <xf numFmtId="0" fontId="7" fillId="0" borderId="24" xfId="0" applyFont="1" applyBorder="1" applyAlignment="1">
      <alignment horizontal="left" wrapText="1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1"/>
  <sheetViews>
    <sheetView tabSelected="1" topLeftCell="A8" zoomScale="80" zoomScaleNormal="80" zoomScalePageLayoutView="90" workbookViewId="0">
      <selection activeCell="L27" sqref="L27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5" customWidth="1"/>
    <col min="4" max="5" width="17.6640625" style="5" customWidth="1"/>
    <col min="6" max="6" width="5.6640625" style="5" customWidth="1"/>
    <col min="7" max="8" width="17.6640625" style="5" customWidth="1"/>
    <col min="9" max="10" width="9.6640625" style="5" customWidth="1"/>
    <col min="11" max="13" width="17.6640625" style="5" customWidth="1"/>
    <col min="14" max="14" width="13.6640625" style="5" customWidth="1"/>
    <col min="15" max="15" width="47.6640625" style="9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61" t="s">
        <v>28</v>
      </c>
      <c r="B1" s="62"/>
      <c r="C1" s="62"/>
      <c r="D1" s="62"/>
      <c r="E1" s="63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64" t="s">
        <v>29</v>
      </c>
      <c r="B2" s="65"/>
      <c r="C2" s="65"/>
      <c r="D2" s="65"/>
      <c r="E2" s="66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64" t="s">
        <v>30</v>
      </c>
      <c r="B3" s="65"/>
      <c r="C3" s="65"/>
      <c r="D3" s="65"/>
      <c r="E3" s="66"/>
      <c r="F3" s="1"/>
      <c r="G3" s="4"/>
      <c r="H3" s="4"/>
      <c r="I3" s="4"/>
      <c r="J3" s="1"/>
      <c r="K3" s="1"/>
      <c r="L3"/>
      <c r="M3" s="1"/>
      <c r="N3" s="1"/>
      <c r="O3" s="6"/>
      <c r="P3" s="6"/>
    </row>
    <row r="4" spans="1:18" ht="15.75" customHeight="1" x14ac:dyDescent="0.2">
      <c r="A4" s="64" t="s">
        <v>31</v>
      </c>
      <c r="B4" s="65"/>
      <c r="C4" s="65"/>
      <c r="D4" s="65"/>
      <c r="E4" s="66"/>
      <c r="F4" s="7"/>
      <c r="G4" s="36" t="s">
        <v>0</v>
      </c>
      <c r="H4" s="37"/>
      <c r="I4" s="4"/>
      <c r="J4" s="8"/>
      <c r="K4" s="8"/>
      <c r="L4" s="1"/>
      <c r="O4" s="3"/>
    </row>
    <row r="5" spans="1:18" ht="15.75" customHeight="1" x14ac:dyDescent="0.2">
      <c r="A5" s="67" t="s">
        <v>32</v>
      </c>
      <c r="B5" s="68"/>
      <c r="C5" s="68"/>
      <c r="D5" s="68"/>
      <c r="E5" s="69"/>
      <c r="F5" s="1"/>
      <c r="G5" s="38"/>
      <c r="H5" s="39"/>
      <c r="I5" s="4"/>
      <c r="J5" s="1"/>
      <c r="K5" s="1"/>
      <c r="L5" s="1"/>
      <c r="O5" s="3"/>
    </row>
    <row r="8" spans="1:18" s="10" customFormat="1" ht="25.5" customHeight="1" x14ac:dyDescent="0.15">
      <c r="A8" s="46" t="s">
        <v>24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8"/>
    </row>
    <row r="9" spans="1:18" ht="24" customHeight="1" x14ac:dyDescent="0.2">
      <c r="A9" s="44" t="s">
        <v>1</v>
      </c>
      <c r="B9" s="49" t="s">
        <v>2</v>
      </c>
      <c r="C9" s="41" t="s">
        <v>3</v>
      </c>
      <c r="D9" s="42"/>
      <c r="E9" s="43"/>
      <c r="F9" s="41" t="s">
        <v>4</v>
      </c>
      <c r="G9" s="42"/>
      <c r="H9" s="43"/>
      <c r="I9" s="51" t="s">
        <v>5</v>
      </c>
      <c r="J9" s="51" t="s">
        <v>6</v>
      </c>
      <c r="K9" s="51" t="s">
        <v>7</v>
      </c>
      <c r="L9" s="51" t="s">
        <v>8</v>
      </c>
      <c r="M9" s="51" t="s">
        <v>9</v>
      </c>
      <c r="N9" s="51" t="s">
        <v>10</v>
      </c>
      <c r="O9" s="44" t="s">
        <v>11</v>
      </c>
    </row>
    <row r="10" spans="1:18" s="5" customFormat="1" ht="24" customHeight="1" thickBot="1" x14ac:dyDescent="0.25">
      <c r="A10" s="45"/>
      <c r="B10" s="50"/>
      <c r="C10" s="12" t="s">
        <v>12</v>
      </c>
      <c r="D10" s="11" t="s">
        <v>13</v>
      </c>
      <c r="E10" s="13" t="s">
        <v>14</v>
      </c>
      <c r="F10" s="13" t="s">
        <v>12</v>
      </c>
      <c r="G10" s="13" t="s">
        <v>13</v>
      </c>
      <c r="H10" s="13" t="s">
        <v>14</v>
      </c>
      <c r="I10" s="52"/>
      <c r="J10" s="52"/>
      <c r="K10" s="52"/>
      <c r="L10" s="52"/>
      <c r="M10" s="52"/>
      <c r="N10" s="52"/>
      <c r="O10" s="45"/>
    </row>
    <row r="11" spans="1:18" s="5" customFormat="1" ht="65" customHeight="1" x14ac:dyDescent="0.2">
      <c r="A11" s="81">
        <v>1</v>
      </c>
      <c r="B11" s="82" t="s">
        <v>21</v>
      </c>
      <c r="C11" s="83">
        <f>24*3</f>
        <v>72</v>
      </c>
      <c r="D11" s="84">
        <v>225</v>
      </c>
      <c r="E11" s="84">
        <f>C11*D11</f>
        <v>16200</v>
      </c>
      <c r="F11" s="83">
        <f>24*3</f>
        <v>72</v>
      </c>
      <c r="G11" s="84">
        <v>225</v>
      </c>
      <c r="H11" s="84">
        <f>F11*G11</f>
        <v>16200</v>
      </c>
      <c r="I11" s="85" t="s">
        <v>27</v>
      </c>
      <c r="J11" s="85" t="s">
        <v>27</v>
      </c>
      <c r="K11" s="84">
        <f>H11*(1-L11)</f>
        <v>16200</v>
      </c>
      <c r="L11" s="86">
        <v>0</v>
      </c>
      <c r="M11" s="84">
        <f>H11-K11</f>
        <v>0</v>
      </c>
      <c r="N11" s="87" t="s">
        <v>27</v>
      </c>
      <c r="O11" s="88" t="s">
        <v>22</v>
      </c>
      <c r="R11" s="23"/>
    </row>
    <row r="12" spans="1:18" s="5" customFormat="1" ht="85" x14ac:dyDescent="0.2">
      <c r="A12" s="89">
        <v>2</v>
      </c>
      <c r="B12" s="76" t="s">
        <v>23</v>
      </c>
      <c r="C12" s="75">
        <v>1</v>
      </c>
      <c r="D12" s="77">
        <v>12950</v>
      </c>
      <c r="E12" s="77">
        <f t="shared" ref="E12:E15" si="0">C12*D12</f>
        <v>12950</v>
      </c>
      <c r="F12" s="75">
        <v>0</v>
      </c>
      <c r="G12" s="77">
        <v>0</v>
      </c>
      <c r="H12" s="77">
        <f t="shared" ref="H12" si="1">F12*G12</f>
        <v>0</v>
      </c>
      <c r="I12" s="78" t="s">
        <v>27</v>
      </c>
      <c r="J12" s="78" t="s">
        <v>27</v>
      </c>
      <c r="K12" s="77">
        <f t="shared" ref="K12:K15" si="2">H12*(1-L12)</f>
        <v>0</v>
      </c>
      <c r="L12" s="79">
        <v>0</v>
      </c>
      <c r="M12" s="77">
        <f t="shared" ref="M12:M15" si="3">H12-K12</f>
        <v>0</v>
      </c>
      <c r="N12" s="80" t="s">
        <v>27</v>
      </c>
      <c r="O12" s="90" t="s">
        <v>33</v>
      </c>
    </row>
    <row r="13" spans="1:18" s="5" customFormat="1" ht="65" customHeight="1" x14ac:dyDescent="0.2">
      <c r="A13" s="89">
        <v>3</v>
      </c>
      <c r="B13" s="76" t="s">
        <v>34</v>
      </c>
      <c r="C13" s="75">
        <v>0</v>
      </c>
      <c r="D13" s="77">
        <v>0</v>
      </c>
      <c r="E13" s="77">
        <f t="shared" si="0"/>
        <v>0</v>
      </c>
      <c r="F13" s="75">
        <v>1</v>
      </c>
      <c r="G13" s="77">
        <v>1273.1300000000001</v>
      </c>
      <c r="H13" s="77">
        <f t="shared" ref="H13" si="4">F13*G13</f>
        <v>1273.1300000000001</v>
      </c>
      <c r="I13" s="78">
        <v>10</v>
      </c>
      <c r="J13" s="78">
        <v>20</v>
      </c>
      <c r="K13" s="77">
        <f t="shared" si="2"/>
        <v>636.56500000000005</v>
      </c>
      <c r="L13" s="79">
        <f t="shared" ref="L13:L15" si="5">IF((I13/J13)&gt;=0.75,0.75,IF((I13/J13)&gt;=0.1,(I13/J13),IF((I13/J13)&lt;=0.1,0.1)))</f>
        <v>0.5</v>
      </c>
      <c r="M13" s="77">
        <f t="shared" si="3"/>
        <v>636.56500000000005</v>
      </c>
      <c r="N13" s="80"/>
      <c r="O13" s="90" t="s">
        <v>35</v>
      </c>
    </row>
    <row r="14" spans="1:18" s="5" customFormat="1" ht="65" customHeight="1" x14ac:dyDescent="0.2">
      <c r="A14" s="89">
        <v>4</v>
      </c>
      <c r="B14" s="76" t="s">
        <v>25</v>
      </c>
      <c r="C14" s="75">
        <v>0</v>
      </c>
      <c r="D14" s="77">
        <v>0</v>
      </c>
      <c r="E14" s="77">
        <f t="shared" si="0"/>
        <v>0</v>
      </c>
      <c r="F14" s="75">
        <v>1</v>
      </c>
      <c r="G14" s="77">
        <v>561.77</v>
      </c>
      <c r="H14" s="77">
        <f>F14*G14</f>
        <v>561.77</v>
      </c>
      <c r="I14" s="78">
        <v>10</v>
      </c>
      <c r="J14" s="78">
        <v>20</v>
      </c>
      <c r="K14" s="77">
        <f t="shared" si="2"/>
        <v>280.88499999999999</v>
      </c>
      <c r="L14" s="79">
        <f t="shared" si="5"/>
        <v>0.5</v>
      </c>
      <c r="M14" s="77">
        <f t="shared" si="3"/>
        <v>280.88499999999999</v>
      </c>
      <c r="N14" s="80"/>
      <c r="O14" s="90" t="s">
        <v>37</v>
      </c>
    </row>
    <row r="15" spans="1:18" s="5" customFormat="1" ht="65" customHeight="1" thickBot="1" x14ac:dyDescent="0.25">
      <c r="A15" s="91">
        <v>5</v>
      </c>
      <c r="B15" s="92" t="s">
        <v>26</v>
      </c>
      <c r="C15" s="93">
        <v>0</v>
      </c>
      <c r="D15" s="94">
        <v>0</v>
      </c>
      <c r="E15" s="94">
        <f t="shared" si="0"/>
        <v>0</v>
      </c>
      <c r="F15" s="93">
        <v>1</v>
      </c>
      <c r="G15" s="94">
        <v>200</v>
      </c>
      <c r="H15" s="94">
        <f t="shared" ref="H15" si="6">F15*G15</f>
        <v>200</v>
      </c>
      <c r="I15" s="95">
        <v>10</v>
      </c>
      <c r="J15" s="95">
        <v>20</v>
      </c>
      <c r="K15" s="96">
        <f t="shared" si="2"/>
        <v>100</v>
      </c>
      <c r="L15" s="97">
        <f t="shared" si="5"/>
        <v>0.5</v>
      </c>
      <c r="M15" s="96">
        <f t="shared" si="3"/>
        <v>100</v>
      </c>
      <c r="N15" s="98"/>
      <c r="O15" s="99" t="s">
        <v>36</v>
      </c>
    </row>
    <row r="16" spans="1:18" s="5" customFormat="1" ht="18" customHeight="1" thickBot="1" x14ac:dyDescent="0.25">
      <c r="A16" s="31" t="s">
        <v>15</v>
      </c>
      <c r="B16" s="32"/>
      <c r="C16" s="32"/>
      <c r="D16" s="33"/>
      <c r="E16" s="71">
        <f>SUM(E11:E15)</f>
        <v>29150</v>
      </c>
      <c r="F16" s="14"/>
      <c r="G16" s="15"/>
      <c r="H16" s="74">
        <f>SUM(H11:H15)</f>
        <v>18234.900000000001</v>
      </c>
      <c r="I16" s="34"/>
      <c r="J16" s="35"/>
      <c r="K16" s="16">
        <f>SUM(K11:K15)</f>
        <v>17217.449999999997</v>
      </c>
      <c r="L16" s="16"/>
      <c r="M16" s="16">
        <f>SUM(M11:M15)</f>
        <v>1017.45</v>
      </c>
      <c r="N16"/>
    </row>
    <row r="17" spans="1:14" s="5" customFormat="1" ht="18" customHeight="1" x14ac:dyDescent="0.2">
      <c r="A17" s="26" t="s">
        <v>16</v>
      </c>
      <c r="B17" s="27"/>
      <c r="C17" s="27"/>
      <c r="D17" s="28"/>
      <c r="E17" s="72">
        <v>2587.06</v>
      </c>
      <c r="F17" s="17"/>
      <c r="G17" s="18"/>
      <c r="H17" s="72">
        <f>H16*0.0887499</f>
        <v>1618.3455515100002</v>
      </c>
      <c r="I17" s="29"/>
      <c r="J17" s="30"/>
      <c r="K17" s="19">
        <f>K16*0.0887499</f>
        <v>1528.0469657549997</v>
      </c>
      <c r="L17" s="19"/>
      <c r="M17" s="19">
        <f>H17-K17</f>
        <v>90.298585755000431</v>
      </c>
      <c r="N17"/>
    </row>
    <row r="18" spans="1:14" s="5" customFormat="1" ht="18" customHeight="1" thickBot="1" x14ac:dyDescent="0.25">
      <c r="A18" s="26" t="s">
        <v>14</v>
      </c>
      <c r="B18" s="27"/>
      <c r="C18" s="27"/>
      <c r="D18" s="28"/>
      <c r="E18" s="73">
        <f>SUM(E16:E17)</f>
        <v>31737.06</v>
      </c>
      <c r="F18" s="20"/>
      <c r="G18" s="21"/>
      <c r="H18" s="73">
        <f>SUM(H16,H17)</f>
        <v>19853.245551510001</v>
      </c>
      <c r="I18" s="24"/>
      <c r="J18" s="25"/>
      <c r="K18" s="22">
        <f>SUM(K16:K17)</f>
        <v>18745.496965754995</v>
      </c>
      <c r="L18" s="22"/>
      <c r="M18" s="22">
        <f>SUM(M16:M17)</f>
        <v>1107.7485857550005</v>
      </c>
      <c r="N18"/>
    </row>
    <row r="19" spans="1:14" ht="12.75" customHeight="1" x14ac:dyDescent="0.2">
      <c r="A19" s="40"/>
      <c r="B19" s="40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1" spans="1:14" x14ac:dyDescent="0.2">
      <c r="B21" s="53" t="s">
        <v>17</v>
      </c>
      <c r="C21" s="54"/>
      <c r="D21" s="55"/>
      <c r="E21" s="59">
        <f>E18</f>
        <v>31737.06</v>
      </c>
    </row>
    <row r="22" spans="1:14" x14ac:dyDescent="0.2">
      <c r="B22" s="56"/>
      <c r="C22" s="57"/>
      <c r="D22" s="58"/>
      <c r="E22" s="60"/>
    </row>
    <row r="23" spans="1:14" x14ac:dyDescent="0.2">
      <c r="H23" s="23"/>
    </row>
    <row r="24" spans="1:14" x14ac:dyDescent="0.2">
      <c r="B24" s="53" t="s">
        <v>18</v>
      </c>
      <c r="C24" s="54"/>
      <c r="D24" s="55"/>
      <c r="E24" s="59">
        <f>H18</f>
        <v>19853.245551510001</v>
      </c>
    </row>
    <row r="25" spans="1:14" x14ac:dyDescent="0.2">
      <c r="B25" s="56"/>
      <c r="C25" s="57"/>
      <c r="D25" s="58"/>
      <c r="E25" s="60"/>
    </row>
    <row r="27" spans="1:14" x14ac:dyDescent="0.2">
      <c r="B27" s="53" t="s">
        <v>19</v>
      </c>
      <c r="C27" s="54"/>
      <c r="D27" s="55"/>
      <c r="E27" s="59">
        <f>K18</f>
        <v>18745.496965754995</v>
      </c>
    </row>
    <row r="28" spans="1:14" x14ac:dyDescent="0.2">
      <c r="B28" s="56"/>
      <c r="C28" s="57"/>
      <c r="D28" s="58"/>
      <c r="E28" s="60"/>
      <c r="I28" s="8"/>
      <c r="J28" s="8"/>
      <c r="K28" s="8"/>
      <c r="L28" s="8"/>
    </row>
    <row r="29" spans="1:14" x14ac:dyDescent="0.2">
      <c r="I29" s="8"/>
      <c r="J29" s="8"/>
      <c r="K29" s="8"/>
      <c r="L29" s="8"/>
    </row>
    <row r="30" spans="1:14" x14ac:dyDescent="0.2">
      <c r="B30" s="53" t="s">
        <v>20</v>
      </c>
      <c r="C30" s="54"/>
      <c r="D30" s="55"/>
      <c r="E30" s="59">
        <f>M18</f>
        <v>1107.7485857550005</v>
      </c>
    </row>
    <row r="31" spans="1:14" x14ac:dyDescent="0.2">
      <c r="B31" s="56"/>
      <c r="C31" s="57"/>
      <c r="D31" s="58"/>
      <c r="E31" s="70"/>
    </row>
  </sheetData>
  <mergeCells count="33">
    <mergeCell ref="B30:D31"/>
    <mergeCell ref="E30:E31"/>
    <mergeCell ref="B21:D22"/>
    <mergeCell ref="B24:D25"/>
    <mergeCell ref="B27:D28"/>
    <mergeCell ref="E27:E28"/>
    <mergeCell ref="A1:E1"/>
    <mergeCell ref="A2:E2"/>
    <mergeCell ref="A3:E3"/>
    <mergeCell ref="A4:E4"/>
    <mergeCell ref="A5:E5"/>
    <mergeCell ref="E21:E22"/>
    <mergeCell ref="E24:E25"/>
    <mergeCell ref="G4:H5"/>
    <mergeCell ref="A19:B19"/>
    <mergeCell ref="F9:H9"/>
    <mergeCell ref="A9:A10"/>
    <mergeCell ref="A8:O8"/>
    <mergeCell ref="C9:E9"/>
    <mergeCell ref="B9:B10"/>
    <mergeCell ref="A16:D16"/>
    <mergeCell ref="I16:J16"/>
    <mergeCell ref="L9:L10"/>
    <mergeCell ref="O9:O10"/>
    <mergeCell ref="I9:I10"/>
    <mergeCell ref="J9:J10"/>
    <mergeCell ref="K9:K10"/>
    <mergeCell ref="M9:M10"/>
    <mergeCell ref="N9:N10"/>
    <mergeCell ref="A17:D17"/>
    <mergeCell ref="I17:J17"/>
    <mergeCell ref="A18:D18"/>
    <mergeCell ref="I18:J18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2026-02-20T17:36:53Z</dcterms:modified>
  <cp:category/>
  <cp:contentStatus/>
</cp:coreProperties>
</file>