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/Users/tannerbeuret/Desktop/Loss Solutins Group/Jobs/Denver Mayers/"/>
    </mc:Choice>
  </mc:AlternateContent>
  <xr:revisionPtr revIDLastSave="0" documentId="13_ncr:1_{CA4D02C7-04A9-8247-9019-7160E27A1623}" xr6:coauthVersionLast="47" xr6:coauthVersionMax="47" xr10:uidLastSave="{00000000-0000-0000-0000-000000000000}"/>
  <bookViews>
    <workbookView xWindow="4280" yWindow="4060" windowWidth="2880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8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38" i="1" l="1"/>
  <c r="E35" i="1"/>
  <c r="E32" i="1"/>
  <c r="E29" i="1"/>
  <c r="I19" i="1"/>
  <c r="L19" i="1" s="1"/>
  <c r="I18" i="1"/>
  <c r="I17" i="1"/>
  <c r="L17" i="1" s="1"/>
  <c r="I16" i="1"/>
  <c r="L16" i="1" s="1"/>
  <c r="I15" i="1"/>
  <c r="I14" i="1"/>
  <c r="I13" i="1"/>
  <c r="L13" i="1" s="1"/>
  <c r="I12" i="1"/>
  <c r="L18" i="1"/>
  <c r="H18" i="1"/>
  <c r="E18" i="1"/>
  <c r="H19" i="1"/>
  <c r="E19" i="1"/>
  <c r="H17" i="1"/>
  <c r="E17" i="1"/>
  <c r="H23" i="1"/>
  <c r="E23" i="1"/>
  <c r="L12" i="1"/>
  <c r="H12" i="1"/>
  <c r="E12" i="1"/>
  <c r="H16" i="1"/>
  <c r="E16" i="1"/>
  <c r="L15" i="1"/>
  <c r="H15" i="1"/>
  <c r="E15" i="1"/>
  <c r="H21" i="1"/>
  <c r="E21" i="1"/>
  <c r="H22" i="1"/>
  <c r="E22" i="1"/>
  <c r="L14" i="1"/>
  <c r="H14" i="1"/>
  <c r="E14" i="1"/>
  <c r="H20" i="1"/>
  <c r="E20" i="1"/>
  <c r="H11" i="1"/>
  <c r="E11" i="1"/>
  <c r="K18" i="1" l="1"/>
  <c r="M18" i="1" s="1"/>
  <c r="K19" i="1"/>
  <c r="M19" i="1" s="1"/>
  <c r="K17" i="1"/>
  <c r="M17" i="1" s="1"/>
  <c r="K23" i="1"/>
  <c r="M23" i="1" s="1"/>
  <c r="K12" i="1"/>
  <c r="M12" i="1" s="1"/>
  <c r="K16" i="1"/>
  <c r="M16" i="1" s="1"/>
  <c r="K15" i="1"/>
  <c r="M15" i="1" s="1"/>
  <c r="K21" i="1"/>
  <c r="M21" i="1" s="1"/>
  <c r="K22" i="1"/>
  <c r="M22" i="1" s="1"/>
  <c r="K14" i="1"/>
  <c r="M14" i="1" s="1"/>
  <c r="K20" i="1"/>
  <c r="M20" i="1" s="1"/>
  <c r="K11" i="1"/>
  <c r="E13" i="1" l="1"/>
  <c r="H13" i="1"/>
  <c r="K13" i="1" s="1"/>
  <c r="E24" i="1" l="1"/>
  <c r="E26" i="1" s="1"/>
  <c r="M13" i="1"/>
  <c r="H24" i="1" l="1"/>
  <c r="H26" i="1" s="1"/>
  <c r="K24" i="1"/>
  <c r="K26" i="1" s="1"/>
  <c r="M11" i="1" l="1"/>
  <c r="M24" i="1" s="1"/>
  <c r="M26" i="1" s="1"/>
</calcChain>
</file>

<file path=xl/sharedStrings.xml><?xml version="1.0" encoding="utf-8"?>
<sst xmlns="http://schemas.openxmlformats.org/spreadsheetml/2006/main" count="79" uniqueCount="52">
  <si>
    <t>REF #</t>
  </si>
  <si>
    <t>ITEM</t>
  </si>
  <si>
    <t>CLAIM PRESENTED</t>
  </si>
  <si>
    <t>LSG RESEARCHED RCV</t>
  </si>
  <si>
    <t>AGE (YEARS)</t>
  </si>
  <si>
    <t>USEFUL LIFE (YEARS)</t>
  </si>
  <si>
    <t>ACV (MAX DEPRECIATION 75%)</t>
  </si>
  <si>
    <t>DEPRECIATION%</t>
  </si>
  <si>
    <t>DEPRECIATION</t>
  </si>
  <si>
    <t>CONDITION</t>
  </si>
  <si>
    <t>NOTES</t>
  </si>
  <si>
    <t>QTY</t>
  </si>
  <si>
    <t>UNIT COST</t>
  </si>
  <si>
    <t>TOTAL</t>
  </si>
  <si>
    <t>SUB-TOTAL</t>
  </si>
  <si>
    <t>SALES TAX</t>
  </si>
  <si>
    <t>TOTAL PRESENTED</t>
  </si>
  <si>
    <t>TOTAL RESEARCHED RCV</t>
  </si>
  <si>
    <t>TOTAL ACV</t>
  </si>
  <si>
    <t>TOTAL DEPRECIATION</t>
  </si>
  <si>
    <t>INSURED: DENVER MEYERS</t>
  </si>
  <si>
    <t>CLAIM #: I6D2002</t>
  </si>
  <si>
    <t xml:space="preserve">LSG MATTER #: 787200.12859-00 </t>
  </si>
  <si>
    <t>DATE OF LOSS: 6/22/2025</t>
  </si>
  <si>
    <t>CAUSE OF LOSS: LIGHTNING STRIKE</t>
  </si>
  <si>
    <t>ANYTIME HEATING &amp; COOLING, LLC (256-714-8463) ESTIMATE # 52343758</t>
  </si>
  <si>
    <t xml:space="preserve">DRAIN PAN </t>
  </si>
  <si>
    <t>3 TON SPLIT SYSTEM REPLACEMENT</t>
  </si>
  <si>
    <t>CONDENSER PAD</t>
  </si>
  <si>
    <t>PERMITS</t>
  </si>
  <si>
    <t>REMOVAL AND DISPOSAL OF EQUIPMENT</t>
  </si>
  <si>
    <t xml:space="preserve">3 TON RUUD HEAT PUMP STYLE SYSTEM </t>
  </si>
  <si>
    <t>LABOR HOURS</t>
  </si>
  <si>
    <t>BRAZING EQUIPMENT AND MATERIALS</t>
  </si>
  <si>
    <t xml:space="preserve">RUUD 3 TON 15 SEER HEAT PUMP SYSTEM. WITH AN ADDED VENDOR MARK UP ON MATERIALS. </t>
  </si>
  <si>
    <t>PLASTIC CONDENSER PAD TO FIT THE NEW UNIT.</t>
  </si>
  <si>
    <t>ELECTRICAL WHIP AND DISCONNECT</t>
  </si>
  <si>
    <t xml:space="preserve">NEW THERMOSTAT AND THERMOSTAT WIRE. WITH ADDED VENDOR MARK UP ON MATERIALS. </t>
  </si>
  <si>
    <t xml:space="preserve">RECYCLING AND DISPOSAL OF THE OLD EQUIPMENT. </t>
  </si>
  <si>
    <t>THERMOSTAT AND THERMOSTAT WIRE</t>
  </si>
  <si>
    <t>NEW ELECTRICAL WHIP FOR THE CONDENSER ALONG WITH AN ELECTRICAL DISCONNECT. PLUS SOME WIRE AND MATERIALS FOR THE INSIDE UNIT.</t>
  </si>
  <si>
    <t>LABOR HOURS FOR TWO TECHNICIANS FOR TEN HOURS EACH.</t>
  </si>
  <si>
    <t>COPPER INSULATION, TAPE, DUCT INSULATION, ETC.</t>
  </si>
  <si>
    <t>COPPER TUBING INSULATION, DUCT TAPE, INSULATION FOR THE DUCTING, ETC.</t>
  </si>
  <si>
    <t>COPPER FITTINGS, CONNECTIONS, AND TUBING.</t>
  </si>
  <si>
    <t>N/A</t>
  </si>
  <si>
    <t>AVERAGE</t>
  </si>
  <si>
    <t xml:space="preserve">RUUD BRANDED THREE (3) TON FIFTEEN (15) SEER HEAT PUMP STYLE SPLIT SYSTEM REPLACEMENT. THIS COST WAS GIVEN TO US IN A LUMP SUM COST. WITH HELP FROM THE VENDOR WE WERE ABLE TO BREAK THIS COST DOWN AS FOLLOWS. </t>
  </si>
  <si>
    <t>METAL INDOOR DRAIN PAN FOR UNDERNEATH THE EVAPORATOR.</t>
  </si>
  <si>
    <t>DUCT TRANSITIONS</t>
  </si>
  <si>
    <t xml:space="preserve">DUCT TRANSITIONS TO FIT THE NEW AIR HANDLER. </t>
  </si>
  <si>
    <t xml:space="preserve">BRAZING RODS, TORCH, GAS, ETC.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</si>
</sst>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9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44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9" fontId="5" fillId="0" borderId="0" applyFont="0" applyFill="0" applyBorder="0" applyAlignment="0" applyProtection="0"/>
  </cellStyleXfs>
  <cellXfs count="100">
    <xf numFmtId="0" fontId="0" fillId="0" borderId="0" xfId="0"/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1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vertical="center"/>
    </xf>
    <xf numFmtId="0" fontId="6" fillId="3" borderId="12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/>
    </xf>
    <xf numFmtId="164" fontId="6" fillId="3" borderId="12" xfId="0" applyNumberFormat="1" applyFont="1" applyFill="1" applyBorder="1" applyAlignment="1">
      <alignment horizontal="center" vertical="center" wrapText="1"/>
    </xf>
    <xf numFmtId="44" fontId="6" fillId="2" borderId="13" xfId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/>
    <xf numFmtId="0" fontId="6" fillId="2" borderId="2" xfId="1" applyNumberFormat="1" applyFont="1" applyFill="1" applyBorder="1" applyAlignment="1"/>
    <xf numFmtId="44" fontId="6" fillId="2" borderId="13" xfId="1" applyFont="1" applyFill="1" applyBorder="1" applyAlignment="1"/>
    <xf numFmtId="44" fontId="6" fillId="2" borderId="13" xfId="1" applyFont="1" applyFill="1" applyBorder="1" applyAlignment="1">
      <alignment horizontal="right"/>
    </xf>
    <xf numFmtId="44" fontId="7" fillId="2" borderId="15" xfId="1" applyFont="1" applyFill="1" applyBorder="1" applyAlignment="1"/>
    <xf numFmtId="44" fontId="7" fillId="2" borderId="7" xfId="1" applyFont="1" applyFill="1" applyBorder="1" applyAlignment="1"/>
    <xf numFmtId="44" fontId="7" fillId="2" borderId="9" xfId="1" applyFont="1" applyFill="1" applyBorder="1" applyAlignment="1"/>
    <xf numFmtId="44" fontId="7" fillId="0" borderId="15" xfId="1" applyFont="1" applyFill="1" applyBorder="1" applyAlignment="1">
      <alignment horizontal="right"/>
    </xf>
    <xf numFmtId="44" fontId="6" fillId="2" borderId="15" xfId="1" applyFont="1" applyFill="1" applyBorder="1" applyAlignment="1"/>
    <xf numFmtId="44" fontId="6" fillId="2" borderId="7" xfId="1" applyFont="1" applyFill="1" applyBorder="1" applyAlignment="1"/>
    <xf numFmtId="44" fontId="6" fillId="2" borderId="9" xfId="1" applyFont="1" applyFill="1" applyBorder="1" applyAlignment="1"/>
    <xf numFmtId="44" fontId="6" fillId="2" borderId="15" xfId="1" applyFont="1" applyFill="1" applyBorder="1" applyAlignment="1">
      <alignment horizontal="right"/>
    </xf>
    <xf numFmtId="44" fontId="7" fillId="0" borderId="0" xfId="0" applyNumberFormat="1" applyFont="1" applyAlignment="1">
      <alignment horizontal="center"/>
    </xf>
    <xf numFmtId="0" fontId="7" fillId="2" borderId="16" xfId="0" applyFont="1" applyFill="1" applyBorder="1" applyAlignment="1">
      <alignment horizontal="center"/>
    </xf>
    <xf numFmtId="0" fontId="7" fillId="2" borderId="16" xfId="0" applyFont="1" applyFill="1" applyBorder="1" applyAlignment="1">
      <alignment horizontal="left" wrapText="1"/>
    </xf>
    <xf numFmtId="44" fontId="7" fillId="2" borderId="16" xfId="1" applyFont="1" applyFill="1" applyBorder="1" applyAlignment="1">
      <alignment horizontal="center"/>
    </xf>
    <xf numFmtId="0" fontId="7" fillId="2" borderId="16" xfId="1" applyNumberFormat="1" applyFont="1" applyFill="1" applyBorder="1" applyAlignment="1">
      <alignment horizontal="center"/>
    </xf>
    <xf numFmtId="9" fontId="7" fillId="2" borderId="16" xfId="6" applyFont="1" applyFill="1" applyBorder="1" applyAlignment="1">
      <alignment horizontal="center"/>
    </xf>
    <xf numFmtId="0" fontId="7" fillId="2" borderId="16" xfId="1" applyNumberFormat="1" applyFont="1" applyFill="1" applyBorder="1" applyAlignment="1">
      <alignment horizontal="center" wrapText="1"/>
    </xf>
    <xf numFmtId="0" fontId="7" fillId="0" borderId="16" xfId="0" applyFont="1" applyBorder="1" applyAlignment="1">
      <alignment horizontal="left" wrapText="1"/>
    </xf>
    <xf numFmtId="44" fontId="7" fillId="0" borderId="16" xfId="1" applyFont="1" applyFill="1" applyBorder="1" applyAlignment="1">
      <alignment horizontal="center"/>
    </xf>
    <xf numFmtId="0" fontId="7" fillId="0" borderId="16" xfId="1" applyNumberFormat="1" applyFont="1" applyFill="1" applyBorder="1" applyAlignment="1">
      <alignment horizontal="center"/>
    </xf>
    <xf numFmtId="0" fontId="7" fillId="0" borderId="16" xfId="1" applyNumberFormat="1" applyFont="1" applyFill="1" applyBorder="1" applyAlignment="1">
      <alignment horizontal="center" wrapText="1"/>
    </xf>
    <xf numFmtId="0" fontId="7" fillId="2" borderId="17" xfId="0" applyFont="1" applyFill="1" applyBorder="1" applyAlignment="1">
      <alignment horizontal="center"/>
    </xf>
    <xf numFmtId="0" fontId="7" fillId="2" borderId="18" xfId="0" applyFont="1" applyFill="1" applyBorder="1" applyAlignment="1">
      <alignment horizontal="left" wrapText="1"/>
    </xf>
    <xf numFmtId="0" fontId="7" fillId="2" borderId="18" xfId="0" applyFont="1" applyFill="1" applyBorder="1" applyAlignment="1">
      <alignment horizontal="center"/>
    </xf>
    <xf numFmtId="44" fontId="7" fillId="2" borderId="18" xfId="1" applyFont="1" applyFill="1" applyBorder="1" applyAlignment="1">
      <alignment horizontal="center"/>
    </xf>
    <xf numFmtId="0" fontId="7" fillId="2" borderId="18" xfId="1" applyNumberFormat="1" applyFont="1" applyFill="1" applyBorder="1" applyAlignment="1">
      <alignment horizontal="center"/>
    </xf>
    <xf numFmtId="9" fontId="7" fillId="2" borderId="18" xfId="6" applyFont="1" applyFill="1" applyBorder="1" applyAlignment="1">
      <alignment horizontal="center"/>
    </xf>
    <xf numFmtId="0" fontId="7" fillId="2" borderId="18" xfId="1" applyNumberFormat="1" applyFont="1" applyFill="1" applyBorder="1" applyAlignment="1">
      <alignment horizontal="center" wrapText="1"/>
    </xf>
    <xf numFmtId="0" fontId="7" fillId="2" borderId="19" xfId="0" applyFont="1" applyFill="1" applyBorder="1" applyAlignment="1">
      <alignment horizontal="left" wrapText="1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left" wrapText="1"/>
    </xf>
    <xf numFmtId="0" fontId="7" fillId="2" borderId="20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left" wrapText="1"/>
    </xf>
    <xf numFmtId="0" fontId="7" fillId="2" borderId="22" xfId="0" applyFont="1" applyFill="1" applyBorder="1" applyAlignment="1">
      <alignment horizontal="center"/>
    </xf>
    <xf numFmtId="0" fontId="7" fillId="2" borderId="23" xfId="0" applyFont="1" applyFill="1" applyBorder="1" applyAlignment="1">
      <alignment horizontal="left" wrapText="1"/>
    </xf>
    <xf numFmtId="0" fontId="7" fillId="2" borderId="23" xfId="0" applyFont="1" applyFill="1" applyBorder="1" applyAlignment="1">
      <alignment horizontal="center"/>
    </xf>
    <xf numFmtId="44" fontId="7" fillId="2" borderId="23" xfId="1" applyFont="1" applyFill="1" applyBorder="1" applyAlignment="1">
      <alignment horizontal="center"/>
    </xf>
    <xf numFmtId="0" fontId="7" fillId="2" borderId="23" xfId="1" applyNumberFormat="1" applyFont="1" applyFill="1" applyBorder="1" applyAlignment="1">
      <alignment horizontal="center"/>
    </xf>
    <xf numFmtId="9" fontId="7" fillId="2" borderId="23" xfId="6" applyFont="1" applyFill="1" applyBorder="1" applyAlignment="1">
      <alignment horizontal="center"/>
    </xf>
    <xf numFmtId="0" fontId="7" fillId="2" borderId="23" xfId="1" applyNumberFormat="1" applyFont="1" applyFill="1" applyBorder="1" applyAlignment="1">
      <alignment horizontal="center" wrapText="1"/>
    </xf>
    <xf numFmtId="0" fontId="7" fillId="2" borderId="24" xfId="0" applyFont="1" applyFill="1" applyBorder="1" applyAlignment="1">
      <alignment horizontal="left" wrapText="1"/>
    </xf>
    <xf numFmtId="0" fontId="6" fillId="3" borderId="3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44" fontId="6" fillId="0" borderId="12" xfId="0" applyNumberFormat="1" applyFont="1" applyBorder="1" applyAlignment="1">
      <alignment horizontal="center" vertical="center"/>
    </xf>
    <xf numFmtId="44" fontId="6" fillId="0" borderId="13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3" xfId="0" applyFont="1" applyBorder="1" applyAlignment="1">
      <alignment horizontal="left"/>
    </xf>
    <xf numFmtId="0" fontId="6" fillId="0" borderId="10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0" xfId="0" applyFont="1" applyAlignment="1">
      <alignment horizont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6" fillId="2" borderId="1" xfId="1" applyNumberFormat="1" applyFont="1" applyFill="1" applyBorder="1" applyAlignment="1">
      <alignment horizontal="center"/>
    </xf>
    <xf numFmtId="0" fontId="6" fillId="2" borderId="2" xfId="1" applyNumberFormat="1" applyFont="1" applyFill="1" applyBorder="1" applyAlignment="1">
      <alignment horizontal="center"/>
    </xf>
    <xf numFmtId="164" fontId="6" fillId="3" borderId="12" xfId="0" applyNumberFormat="1" applyFont="1" applyFill="1" applyBorder="1" applyAlignment="1">
      <alignment horizontal="center" vertical="center" wrapText="1"/>
    </xf>
    <xf numFmtId="164" fontId="6" fillId="3" borderId="14" xfId="0" applyNumberFormat="1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7" fillId="2" borderId="7" xfId="1" applyNumberFormat="1" applyFont="1" applyFill="1" applyBorder="1" applyAlignment="1">
      <alignment horizontal="center"/>
    </xf>
    <xf numFmtId="0" fontId="7" fillId="2" borderId="9" xfId="1" applyNumberFormat="1" applyFont="1" applyFill="1" applyBorder="1" applyAlignment="1">
      <alignment horizontal="center"/>
    </xf>
    <xf numFmtId="0" fontId="6" fillId="2" borderId="7" xfId="1" applyNumberFormat="1" applyFont="1" applyFill="1" applyBorder="1" applyAlignment="1">
      <alignment horizontal="center"/>
    </xf>
    <xf numFmtId="0" fontId="6" fillId="2" borderId="9" xfId="1" applyNumberFormat="1" applyFont="1" applyFill="1" applyBorder="1" applyAlignment="1">
      <alignment horizontal="center"/>
    </xf>
  </cellXfs>
  <cellStyles count="7">
    <cellStyle name="Currency" xfId="1" builtinId="4"/>
    <cellStyle name="Followed Hyperlink" xfId="3" builtinId="9" hidden="1"/>
    <cellStyle name="Followed Hyperlink" xfId="5" builtinId="9" hidden="1"/>
    <cellStyle name="Hyperlink" xfId="2" builtinId="8" hidden="1"/>
    <cellStyle name="Hyperlink" xfId="4" builtinId="8" hidden="1"/>
    <cellStyle name="Normal" xfId="0" builtinId="0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0"/>
  <sheetViews>
    <sheetView tabSelected="1" topLeftCell="A19" zoomScale="80" zoomScaleNormal="80" zoomScalePageLayoutView="90" workbookViewId="0">
      <selection activeCell="A34" sqref="A34:XFD40"/>
    </sheetView>
  </sheetViews>
  <sheetFormatPr baseColWidth="10" defaultColWidth="8.83203125" defaultRowHeight="16" x14ac:dyDescent="0.2"/>
  <cols>
    <col min="1" max="1" width="5.6640625" style="3" customWidth="1"/>
    <col min="2" max="2" width="20.6640625" style="3" customWidth="1"/>
    <col min="3" max="3" width="5.6640625" style="4" customWidth="1"/>
    <col min="4" max="5" width="17.6640625" style="4" customWidth="1"/>
    <col min="6" max="6" width="5.6640625" style="4" customWidth="1"/>
    <col min="7" max="8" width="17.6640625" style="4" customWidth="1"/>
    <col min="9" max="10" width="9.6640625" style="4" customWidth="1"/>
    <col min="11" max="13" width="17.6640625" style="4" hidden="1" customWidth="1"/>
    <col min="14" max="14" width="13.6640625" style="4" customWidth="1"/>
    <col min="15" max="15" width="47.6640625" style="8" customWidth="1"/>
    <col min="16" max="17" width="8.83203125" style="3"/>
    <col min="18" max="18" width="9.6640625" style="3" bestFit="1" customWidth="1"/>
    <col min="19" max="16384" width="8.83203125" style="3"/>
  </cols>
  <sheetData>
    <row r="1" spans="1:18" ht="15.75" customHeight="1" x14ac:dyDescent="0.2">
      <c r="A1" s="66" t="s">
        <v>20</v>
      </c>
      <c r="B1" s="67"/>
      <c r="C1" s="67"/>
      <c r="D1" s="67"/>
      <c r="E1" s="68"/>
      <c r="F1" s="1"/>
      <c r="G1"/>
      <c r="H1"/>
      <c r="I1"/>
      <c r="J1" s="1"/>
      <c r="K1" s="1"/>
      <c r="L1" s="1"/>
      <c r="M1" s="1"/>
      <c r="N1" s="1"/>
      <c r="O1" s="2"/>
      <c r="P1" s="2"/>
    </row>
    <row r="2" spans="1:18" ht="15.75" customHeight="1" x14ac:dyDescent="0.2">
      <c r="A2" s="69" t="s">
        <v>22</v>
      </c>
      <c r="B2" s="70"/>
      <c r="C2" s="70"/>
      <c r="D2" s="70"/>
      <c r="E2" s="71"/>
      <c r="F2" s="1"/>
      <c r="G2"/>
      <c r="H2"/>
      <c r="I2"/>
      <c r="J2" s="1"/>
      <c r="K2" s="1"/>
      <c r="M2" s="1"/>
      <c r="N2" s="1"/>
      <c r="O2" s="2"/>
      <c r="P2" s="2"/>
    </row>
    <row r="3" spans="1:18" ht="15.75" customHeight="1" x14ac:dyDescent="0.2">
      <c r="A3" s="69" t="s">
        <v>21</v>
      </c>
      <c r="B3" s="70"/>
      <c r="C3" s="70"/>
      <c r="D3" s="70"/>
      <c r="E3" s="71"/>
      <c r="F3" s="1"/>
      <c r="G3"/>
      <c r="H3"/>
      <c r="I3"/>
      <c r="J3" s="1"/>
      <c r="K3" s="1"/>
      <c r="L3"/>
      <c r="M3" s="1"/>
      <c r="N3" s="1"/>
      <c r="O3" s="5"/>
      <c r="P3" s="5"/>
    </row>
    <row r="4" spans="1:18" ht="15.75" customHeight="1" x14ac:dyDescent="0.2">
      <c r="A4" s="69" t="s">
        <v>23</v>
      </c>
      <c r="B4" s="70"/>
      <c r="C4" s="70"/>
      <c r="D4" s="70"/>
      <c r="E4" s="71"/>
      <c r="F4" s="6"/>
      <c r="G4"/>
      <c r="H4"/>
      <c r="I4"/>
      <c r="J4" s="7"/>
      <c r="K4" s="7"/>
      <c r="L4" s="1"/>
      <c r="O4" s="3"/>
    </row>
    <row r="5" spans="1:18" ht="15.75" customHeight="1" thickBot="1" x14ac:dyDescent="0.25">
      <c r="A5" s="72" t="s">
        <v>24</v>
      </c>
      <c r="B5" s="73"/>
      <c r="C5" s="73"/>
      <c r="D5" s="73"/>
      <c r="E5" s="74"/>
      <c r="F5" s="1"/>
      <c r="G5"/>
      <c r="H5"/>
      <c r="I5"/>
      <c r="J5" s="1"/>
      <c r="K5" s="1"/>
      <c r="L5" s="1"/>
      <c r="O5" s="3"/>
    </row>
    <row r="8" spans="1:18" s="9" customFormat="1" ht="25.5" customHeight="1" x14ac:dyDescent="0.15">
      <c r="A8" s="81" t="s">
        <v>25</v>
      </c>
      <c r="B8" s="82"/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3"/>
    </row>
    <row r="9" spans="1:18" ht="24" customHeight="1" x14ac:dyDescent="0.2">
      <c r="A9" s="79" t="s">
        <v>0</v>
      </c>
      <c r="B9" s="84" t="s">
        <v>1</v>
      </c>
      <c r="C9" s="76" t="s">
        <v>2</v>
      </c>
      <c r="D9" s="77"/>
      <c r="E9" s="78"/>
      <c r="F9" s="76" t="s">
        <v>3</v>
      </c>
      <c r="G9" s="77"/>
      <c r="H9" s="78"/>
      <c r="I9" s="91" t="s">
        <v>4</v>
      </c>
      <c r="J9" s="91" t="s">
        <v>5</v>
      </c>
      <c r="K9" s="91" t="s">
        <v>6</v>
      </c>
      <c r="L9" s="91" t="s">
        <v>7</v>
      </c>
      <c r="M9" s="91" t="s">
        <v>8</v>
      </c>
      <c r="N9" s="91" t="s">
        <v>9</v>
      </c>
      <c r="O9" s="79" t="s">
        <v>10</v>
      </c>
    </row>
    <row r="10" spans="1:18" s="4" customFormat="1" ht="24" customHeight="1" thickBot="1" x14ac:dyDescent="0.25">
      <c r="A10" s="80"/>
      <c r="B10" s="85"/>
      <c r="C10" s="11" t="s">
        <v>11</v>
      </c>
      <c r="D10" s="10" t="s">
        <v>12</v>
      </c>
      <c r="E10" s="12" t="s">
        <v>13</v>
      </c>
      <c r="F10" s="12" t="s">
        <v>11</v>
      </c>
      <c r="G10" s="12" t="s">
        <v>12</v>
      </c>
      <c r="H10" s="12" t="s">
        <v>13</v>
      </c>
      <c r="I10" s="92"/>
      <c r="J10" s="92"/>
      <c r="K10" s="92"/>
      <c r="L10" s="92"/>
      <c r="M10" s="92"/>
      <c r="N10" s="92"/>
      <c r="O10" s="80"/>
    </row>
    <row r="11" spans="1:18" s="4" customFormat="1" ht="102" x14ac:dyDescent="0.2">
      <c r="A11" s="37">
        <v>1</v>
      </c>
      <c r="B11" s="38" t="s">
        <v>27</v>
      </c>
      <c r="C11" s="39">
        <v>1</v>
      </c>
      <c r="D11" s="40">
        <v>13900</v>
      </c>
      <c r="E11" s="40">
        <f>C11*D11</f>
        <v>13900</v>
      </c>
      <c r="F11" s="39">
        <v>0</v>
      </c>
      <c r="G11" s="40">
        <v>0</v>
      </c>
      <c r="H11" s="40">
        <f>F11*G11</f>
        <v>0</v>
      </c>
      <c r="I11" s="41" t="s">
        <v>45</v>
      </c>
      <c r="J11" s="41" t="s">
        <v>45</v>
      </c>
      <c r="K11" s="40">
        <f>H11*(1-L11)</f>
        <v>0</v>
      </c>
      <c r="L11" s="42">
        <v>0</v>
      </c>
      <c r="M11" s="40">
        <f>H11-K11</f>
        <v>0</v>
      </c>
      <c r="N11" s="43" t="s">
        <v>45</v>
      </c>
      <c r="O11" s="44" t="s">
        <v>47</v>
      </c>
      <c r="R11" s="26"/>
    </row>
    <row r="12" spans="1:18" s="4" customFormat="1" ht="65" customHeight="1" x14ac:dyDescent="0.2">
      <c r="A12" s="45">
        <v>2</v>
      </c>
      <c r="B12" s="33" t="s">
        <v>31</v>
      </c>
      <c r="C12" s="27">
        <v>0</v>
      </c>
      <c r="D12" s="34">
        <v>0</v>
      </c>
      <c r="E12" s="34">
        <f>C12*D12</f>
        <v>0</v>
      </c>
      <c r="F12" s="27">
        <v>1</v>
      </c>
      <c r="G12" s="34">
        <v>7100</v>
      </c>
      <c r="H12" s="34">
        <f t="shared" ref="H12" si="0">F12*G12</f>
        <v>7100</v>
      </c>
      <c r="I12" s="35">
        <f t="shared" ref="I12:I19" si="1">2026-2012</f>
        <v>14</v>
      </c>
      <c r="J12" s="35">
        <v>20</v>
      </c>
      <c r="K12" s="29">
        <f>H12*(1-L12)</f>
        <v>2130.0000000000005</v>
      </c>
      <c r="L12" s="31">
        <f>IF((I12/J12)&gt;=0.75,0.75,IF((I12/J12)&gt;=0.1,(I12/J12),IF((I12/J12)&lt;=0.1,0.1)))</f>
        <v>0.7</v>
      </c>
      <c r="M12" s="29">
        <f>H12-K12</f>
        <v>4970</v>
      </c>
      <c r="N12" s="36" t="s">
        <v>46</v>
      </c>
      <c r="O12" s="46" t="s">
        <v>34</v>
      </c>
    </row>
    <row r="13" spans="1:18" s="4" customFormat="1" ht="65" customHeight="1" x14ac:dyDescent="0.2">
      <c r="A13" s="45">
        <v>3</v>
      </c>
      <c r="B13" s="33" t="s">
        <v>26</v>
      </c>
      <c r="C13" s="27">
        <v>0</v>
      </c>
      <c r="D13" s="34">
        <v>0</v>
      </c>
      <c r="E13" s="34">
        <f t="shared" ref="E13:E19" si="2">C13*D13</f>
        <v>0</v>
      </c>
      <c r="F13" s="27">
        <v>1</v>
      </c>
      <c r="G13" s="34">
        <v>200</v>
      </c>
      <c r="H13" s="34">
        <f t="shared" ref="H13" si="3">F13*G13</f>
        <v>200</v>
      </c>
      <c r="I13" s="35">
        <f t="shared" si="1"/>
        <v>14</v>
      </c>
      <c r="J13" s="35">
        <v>20</v>
      </c>
      <c r="K13" s="29">
        <f t="shared" ref="K13:K19" si="4">H13*(1-L13)</f>
        <v>60.000000000000007</v>
      </c>
      <c r="L13" s="31">
        <f t="shared" ref="L13:L19" si="5">IF((I13/J13)&gt;=0.75,0.75,IF((I13/J13)&gt;=0.1,(I13/J13),IF((I13/J13)&lt;=0.1,0.1)))</f>
        <v>0.7</v>
      </c>
      <c r="M13" s="29">
        <f t="shared" ref="M13:M19" si="6">H13-K13</f>
        <v>140</v>
      </c>
      <c r="N13" s="36" t="s">
        <v>46</v>
      </c>
      <c r="O13" s="46" t="s">
        <v>48</v>
      </c>
    </row>
    <row r="14" spans="1:18" s="4" customFormat="1" ht="65" customHeight="1" x14ac:dyDescent="0.2">
      <c r="A14" s="47">
        <v>4</v>
      </c>
      <c r="B14" s="28" t="s">
        <v>28</v>
      </c>
      <c r="C14" s="27">
        <v>0</v>
      </c>
      <c r="D14" s="29">
        <v>0</v>
      </c>
      <c r="E14" s="29">
        <f t="shared" si="2"/>
        <v>0</v>
      </c>
      <c r="F14" s="27">
        <v>1</v>
      </c>
      <c r="G14" s="29">
        <v>200</v>
      </c>
      <c r="H14" s="29">
        <f>F14*G14</f>
        <v>200</v>
      </c>
      <c r="I14" s="35">
        <f t="shared" si="1"/>
        <v>14</v>
      </c>
      <c r="J14" s="35">
        <v>20</v>
      </c>
      <c r="K14" s="29">
        <f t="shared" si="4"/>
        <v>60.000000000000007</v>
      </c>
      <c r="L14" s="31">
        <f t="shared" si="5"/>
        <v>0.7</v>
      </c>
      <c r="M14" s="29">
        <f t="shared" si="6"/>
        <v>140</v>
      </c>
      <c r="N14" s="32" t="s">
        <v>46</v>
      </c>
      <c r="O14" s="48" t="s">
        <v>35</v>
      </c>
    </row>
    <row r="15" spans="1:18" s="4" customFormat="1" ht="65" customHeight="1" x14ac:dyDescent="0.2">
      <c r="A15" s="45">
        <v>5</v>
      </c>
      <c r="B15" s="33" t="s">
        <v>39</v>
      </c>
      <c r="C15" s="27">
        <v>0</v>
      </c>
      <c r="D15" s="34">
        <v>0</v>
      </c>
      <c r="E15" s="34">
        <f t="shared" si="2"/>
        <v>0</v>
      </c>
      <c r="F15" s="27">
        <v>1</v>
      </c>
      <c r="G15" s="34">
        <v>350</v>
      </c>
      <c r="H15" s="34">
        <f t="shared" ref="H15" si="7">F15*G15</f>
        <v>350</v>
      </c>
      <c r="I15" s="35">
        <f t="shared" si="1"/>
        <v>14</v>
      </c>
      <c r="J15" s="35">
        <v>20</v>
      </c>
      <c r="K15" s="29">
        <f t="shared" si="4"/>
        <v>105.00000000000001</v>
      </c>
      <c r="L15" s="31">
        <f t="shared" si="5"/>
        <v>0.7</v>
      </c>
      <c r="M15" s="29">
        <f t="shared" si="6"/>
        <v>245</v>
      </c>
      <c r="N15" s="36" t="s">
        <v>46</v>
      </c>
      <c r="O15" s="46" t="s">
        <v>37</v>
      </c>
    </row>
    <row r="16" spans="1:18" s="4" customFormat="1" ht="75" customHeight="1" x14ac:dyDescent="0.2">
      <c r="A16" s="47">
        <v>6</v>
      </c>
      <c r="B16" s="28" t="s">
        <v>36</v>
      </c>
      <c r="C16" s="27">
        <v>0</v>
      </c>
      <c r="D16" s="29">
        <v>0</v>
      </c>
      <c r="E16" s="29">
        <f t="shared" si="2"/>
        <v>0</v>
      </c>
      <c r="F16" s="27">
        <v>1</v>
      </c>
      <c r="G16" s="29">
        <v>350</v>
      </c>
      <c r="H16" s="29">
        <f t="shared" ref="H16:H21" si="8">F16*G16</f>
        <v>350</v>
      </c>
      <c r="I16" s="35">
        <f t="shared" si="1"/>
        <v>14</v>
      </c>
      <c r="J16" s="35">
        <v>20</v>
      </c>
      <c r="K16" s="29">
        <f t="shared" si="4"/>
        <v>105.00000000000001</v>
      </c>
      <c r="L16" s="31">
        <f t="shared" si="5"/>
        <v>0.7</v>
      </c>
      <c r="M16" s="29">
        <f t="shared" si="6"/>
        <v>245</v>
      </c>
      <c r="N16" s="32" t="s">
        <v>46</v>
      </c>
      <c r="O16" s="48" t="s">
        <v>40</v>
      </c>
    </row>
    <row r="17" spans="1:15" s="4" customFormat="1" ht="65" customHeight="1" x14ac:dyDescent="0.2">
      <c r="A17" s="47">
        <v>7</v>
      </c>
      <c r="B17" s="28" t="s">
        <v>49</v>
      </c>
      <c r="C17" s="27">
        <v>0</v>
      </c>
      <c r="D17" s="29">
        <v>0</v>
      </c>
      <c r="E17" s="29">
        <f t="shared" ref="E17" si="9">C17*D17</f>
        <v>0</v>
      </c>
      <c r="F17" s="27">
        <v>1</v>
      </c>
      <c r="G17" s="29">
        <v>300</v>
      </c>
      <c r="H17" s="29">
        <f t="shared" si="8"/>
        <v>300</v>
      </c>
      <c r="I17" s="35">
        <f t="shared" si="1"/>
        <v>14</v>
      </c>
      <c r="J17" s="35">
        <v>20</v>
      </c>
      <c r="K17" s="29">
        <f t="shared" ref="K17" si="10">H17*(1-L17)</f>
        <v>90.000000000000014</v>
      </c>
      <c r="L17" s="31">
        <f t="shared" ref="L17" si="11">IF((I17/J17)&gt;=0.75,0.75,IF((I17/J17)&gt;=0.1,(I17/J17),IF((I17/J17)&lt;=0.1,0.1)))</f>
        <v>0.7</v>
      </c>
      <c r="M17" s="29">
        <f t="shared" ref="M17" si="12">H17-K17</f>
        <v>210</v>
      </c>
      <c r="N17" s="32" t="s">
        <v>46</v>
      </c>
      <c r="O17" s="48" t="s">
        <v>50</v>
      </c>
    </row>
    <row r="18" spans="1:15" s="4" customFormat="1" ht="68" x14ac:dyDescent="0.2">
      <c r="A18" s="47">
        <v>8</v>
      </c>
      <c r="B18" s="28" t="s">
        <v>42</v>
      </c>
      <c r="C18" s="27">
        <v>0</v>
      </c>
      <c r="D18" s="29">
        <v>0</v>
      </c>
      <c r="E18" s="29">
        <f t="shared" ref="E18" si="13">C18*D18</f>
        <v>0</v>
      </c>
      <c r="F18" s="27">
        <v>1</v>
      </c>
      <c r="G18" s="29">
        <v>200</v>
      </c>
      <c r="H18" s="29">
        <f t="shared" si="8"/>
        <v>200</v>
      </c>
      <c r="I18" s="35">
        <f t="shared" si="1"/>
        <v>14</v>
      </c>
      <c r="J18" s="35">
        <v>20</v>
      </c>
      <c r="K18" s="29">
        <f t="shared" ref="K18" si="14">H18*(1-L18)</f>
        <v>60.000000000000007</v>
      </c>
      <c r="L18" s="31">
        <f t="shared" ref="L18" si="15">IF((I18/J18)&gt;=0.75,0.75,IF((I18/J18)&gt;=0.1,(I18/J18),IF((I18/J18)&lt;=0.1,0.1)))</f>
        <v>0.7</v>
      </c>
      <c r="M18" s="29">
        <f t="shared" ref="M18" si="16">H18-K18</f>
        <v>140</v>
      </c>
      <c r="N18" s="32" t="s">
        <v>46</v>
      </c>
      <c r="O18" s="48" t="s">
        <v>43</v>
      </c>
    </row>
    <row r="19" spans="1:15" s="4" customFormat="1" ht="73" customHeight="1" x14ac:dyDescent="0.2">
      <c r="A19" s="47">
        <v>9</v>
      </c>
      <c r="B19" s="28" t="s">
        <v>44</v>
      </c>
      <c r="C19" s="27">
        <v>0</v>
      </c>
      <c r="D19" s="29">
        <v>0</v>
      </c>
      <c r="E19" s="29">
        <f t="shared" si="2"/>
        <v>0</v>
      </c>
      <c r="F19" s="27">
        <v>1</v>
      </c>
      <c r="G19" s="29">
        <v>300</v>
      </c>
      <c r="H19" s="29">
        <f t="shared" si="8"/>
        <v>300</v>
      </c>
      <c r="I19" s="35">
        <f t="shared" si="1"/>
        <v>14</v>
      </c>
      <c r="J19" s="35">
        <v>20</v>
      </c>
      <c r="K19" s="29">
        <f t="shared" si="4"/>
        <v>90.000000000000014</v>
      </c>
      <c r="L19" s="31">
        <f t="shared" si="5"/>
        <v>0.7</v>
      </c>
      <c r="M19" s="29">
        <f t="shared" si="6"/>
        <v>210</v>
      </c>
      <c r="N19" s="32" t="s">
        <v>46</v>
      </c>
      <c r="O19" s="48" t="s">
        <v>44</v>
      </c>
    </row>
    <row r="20" spans="1:15" s="4" customFormat="1" ht="65" customHeight="1" x14ac:dyDescent="0.2">
      <c r="A20" s="47">
        <v>10</v>
      </c>
      <c r="B20" s="28" t="s">
        <v>33</v>
      </c>
      <c r="C20" s="27">
        <v>0</v>
      </c>
      <c r="D20" s="29">
        <v>0</v>
      </c>
      <c r="E20" s="29">
        <f t="shared" ref="E20" si="17">C20*D20</f>
        <v>0</v>
      </c>
      <c r="F20" s="27">
        <v>1</v>
      </c>
      <c r="G20" s="29">
        <v>300</v>
      </c>
      <c r="H20" s="29">
        <f t="shared" si="8"/>
        <v>300</v>
      </c>
      <c r="I20" s="30" t="s">
        <v>45</v>
      </c>
      <c r="J20" s="30" t="s">
        <v>45</v>
      </c>
      <c r="K20" s="29">
        <f t="shared" ref="K20" si="18">H20*(1-L20)</f>
        <v>300</v>
      </c>
      <c r="L20" s="31">
        <v>0</v>
      </c>
      <c r="M20" s="29">
        <f t="shared" ref="M20" si="19">H20-K20</f>
        <v>0</v>
      </c>
      <c r="N20" s="32" t="s">
        <v>45</v>
      </c>
      <c r="O20" s="48" t="s">
        <v>51</v>
      </c>
    </row>
    <row r="21" spans="1:15" s="4" customFormat="1" ht="65" customHeight="1" x14ac:dyDescent="0.2">
      <c r="A21" s="47">
        <v>11</v>
      </c>
      <c r="B21" s="28" t="s">
        <v>30</v>
      </c>
      <c r="C21" s="27">
        <v>0</v>
      </c>
      <c r="D21" s="29">
        <v>0</v>
      </c>
      <c r="E21" s="29">
        <f>C21*D21</f>
        <v>0</v>
      </c>
      <c r="F21" s="27">
        <v>1</v>
      </c>
      <c r="G21" s="29">
        <v>200</v>
      </c>
      <c r="H21" s="29">
        <f t="shared" si="8"/>
        <v>200</v>
      </c>
      <c r="I21" s="30" t="s">
        <v>45</v>
      </c>
      <c r="J21" s="30" t="s">
        <v>45</v>
      </c>
      <c r="K21" s="29">
        <f>H21*(1-L21)</f>
        <v>200</v>
      </c>
      <c r="L21" s="31">
        <v>0</v>
      </c>
      <c r="M21" s="29">
        <f>H21-K21</f>
        <v>0</v>
      </c>
      <c r="N21" s="32" t="s">
        <v>45</v>
      </c>
      <c r="O21" s="48" t="s">
        <v>38</v>
      </c>
    </row>
    <row r="22" spans="1:15" s="4" customFormat="1" ht="65" customHeight="1" x14ac:dyDescent="0.2">
      <c r="A22" s="45">
        <v>12</v>
      </c>
      <c r="B22" s="33" t="s">
        <v>29</v>
      </c>
      <c r="C22" s="27">
        <v>0</v>
      </c>
      <c r="D22" s="34">
        <v>0</v>
      </c>
      <c r="E22" s="34">
        <f>C22*D22</f>
        <v>0</v>
      </c>
      <c r="F22" s="27">
        <v>1</v>
      </c>
      <c r="G22" s="34">
        <v>400</v>
      </c>
      <c r="H22" s="34">
        <f t="shared" ref="H22" si="20">F22*G22</f>
        <v>400</v>
      </c>
      <c r="I22" s="35" t="s">
        <v>45</v>
      </c>
      <c r="J22" s="35" t="s">
        <v>45</v>
      </c>
      <c r="K22" s="29">
        <f>H22*(1-L22)</f>
        <v>400</v>
      </c>
      <c r="L22" s="31">
        <v>0</v>
      </c>
      <c r="M22" s="29">
        <f>H22-K22</f>
        <v>0</v>
      </c>
      <c r="N22" s="36" t="s">
        <v>45</v>
      </c>
      <c r="O22" s="46" t="s">
        <v>29</v>
      </c>
    </row>
    <row r="23" spans="1:15" s="4" customFormat="1" ht="65" customHeight="1" thickBot="1" x14ac:dyDescent="0.25">
      <c r="A23" s="49">
        <v>13</v>
      </c>
      <c r="B23" s="50" t="s">
        <v>32</v>
      </c>
      <c r="C23" s="51">
        <v>0</v>
      </c>
      <c r="D23" s="52">
        <v>0</v>
      </c>
      <c r="E23" s="52">
        <f>C23*D23</f>
        <v>0</v>
      </c>
      <c r="F23" s="51">
        <v>20</v>
      </c>
      <c r="G23" s="52">
        <v>200</v>
      </c>
      <c r="H23" s="52">
        <f>F23*G23</f>
        <v>4000</v>
      </c>
      <c r="I23" s="53" t="s">
        <v>45</v>
      </c>
      <c r="J23" s="53" t="s">
        <v>45</v>
      </c>
      <c r="K23" s="52">
        <f>H23*(1-L23)</f>
        <v>4000</v>
      </c>
      <c r="L23" s="54">
        <v>0</v>
      </c>
      <c r="M23" s="52">
        <f>H23-K23</f>
        <v>0</v>
      </c>
      <c r="N23" s="55" t="s">
        <v>45</v>
      </c>
      <c r="O23" s="56" t="s">
        <v>41</v>
      </c>
    </row>
    <row r="24" spans="1:15" s="4" customFormat="1" ht="18" customHeight="1" thickBot="1" x14ac:dyDescent="0.25">
      <c r="A24" s="86" t="s">
        <v>14</v>
      </c>
      <c r="B24" s="87"/>
      <c r="C24" s="87"/>
      <c r="D24" s="88"/>
      <c r="E24" s="13">
        <f>SUM(E11:E23)</f>
        <v>13900</v>
      </c>
      <c r="F24" s="14"/>
      <c r="G24" s="15"/>
      <c r="H24" s="16">
        <f>SUM(H11:H23)</f>
        <v>13900</v>
      </c>
      <c r="I24" s="89"/>
      <c r="J24" s="90"/>
      <c r="K24" s="17">
        <f>SUM(K11:K23)</f>
        <v>7600</v>
      </c>
      <c r="L24" s="17"/>
      <c r="M24" s="17">
        <f>SUM(M11:M23)</f>
        <v>6300</v>
      </c>
      <c r="N24"/>
    </row>
    <row r="25" spans="1:15" s="4" customFormat="1" ht="18" customHeight="1" x14ac:dyDescent="0.2">
      <c r="A25" s="93" t="s">
        <v>15</v>
      </c>
      <c r="B25" s="94"/>
      <c r="C25" s="94"/>
      <c r="D25" s="95"/>
      <c r="E25" s="18">
        <v>0</v>
      </c>
      <c r="F25" s="19"/>
      <c r="G25" s="20"/>
      <c r="H25" s="18">
        <v>0</v>
      </c>
      <c r="I25" s="96"/>
      <c r="J25" s="97"/>
      <c r="K25" s="21">
        <v>0</v>
      </c>
      <c r="L25" s="21"/>
      <c r="M25" s="21">
        <v>0</v>
      </c>
      <c r="N25"/>
    </row>
    <row r="26" spans="1:15" s="4" customFormat="1" ht="18" customHeight="1" thickBot="1" x14ac:dyDescent="0.25">
      <c r="A26" s="93" t="s">
        <v>13</v>
      </c>
      <c r="B26" s="94"/>
      <c r="C26" s="94"/>
      <c r="D26" s="95"/>
      <c r="E26" s="22">
        <f>SUM(E24:E25)</f>
        <v>13900</v>
      </c>
      <c r="F26" s="23"/>
      <c r="G26" s="24"/>
      <c r="H26" s="22">
        <f>SUM(H24,H25)</f>
        <v>13900</v>
      </c>
      <c r="I26" s="98"/>
      <c r="J26" s="99"/>
      <c r="K26" s="25">
        <f>SUM(K24:K25)</f>
        <v>7600</v>
      </c>
      <c r="L26" s="25"/>
      <c r="M26" s="25">
        <f>SUM(M24:M25)</f>
        <v>6300</v>
      </c>
      <c r="N26"/>
    </row>
    <row r="27" spans="1:15" ht="12.75" customHeight="1" x14ac:dyDescent="0.2">
      <c r="A27" s="75"/>
      <c r="B27" s="75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9" spans="1:15" x14ac:dyDescent="0.2">
      <c r="B29" s="57" t="s">
        <v>16</v>
      </c>
      <c r="C29" s="58"/>
      <c r="D29" s="59"/>
      <c r="E29" s="63">
        <f>E26</f>
        <v>13900</v>
      </c>
    </row>
    <row r="30" spans="1:15" x14ac:dyDescent="0.2">
      <c r="B30" s="60"/>
      <c r="C30" s="61"/>
      <c r="D30" s="62"/>
      <c r="E30" s="65"/>
    </row>
    <row r="32" spans="1:15" x14ac:dyDescent="0.2">
      <c r="B32" s="57" t="s">
        <v>17</v>
      </c>
      <c r="C32" s="58"/>
      <c r="D32" s="59"/>
      <c r="E32" s="63">
        <f>H26</f>
        <v>13900</v>
      </c>
    </row>
    <row r="33" spans="2:12" ht="17" thickBot="1" x14ac:dyDescent="0.25">
      <c r="B33" s="60"/>
      <c r="C33" s="61"/>
      <c r="D33" s="62"/>
      <c r="E33" s="65"/>
    </row>
    <row r="34" spans="2:12" hidden="1" x14ac:dyDescent="0.2"/>
    <row r="35" spans="2:12" hidden="1" x14ac:dyDescent="0.2">
      <c r="B35" s="57" t="s">
        <v>18</v>
      </c>
      <c r="C35" s="58"/>
      <c r="D35" s="59"/>
      <c r="E35" s="63">
        <f>K26</f>
        <v>7600</v>
      </c>
    </row>
    <row r="36" spans="2:12" hidden="1" x14ac:dyDescent="0.2">
      <c r="B36" s="60"/>
      <c r="C36" s="61"/>
      <c r="D36" s="62"/>
      <c r="E36" s="65"/>
      <c r="I36" s="7"/>
      <c r="J36" s="7"/>
      <c r="K36" s="7"/>
      <c r="L36" s="7"/>
    </row>
    <row r="37" spans="2:12" hidden="1" x14ac:dyDescent="0.2">
      <c r="I37" s="7"/>
      <c r="J37" s="7"/>
      <c r="K37" s="7"/>
      <c r="L37" s="7"/>
    </row>
    <row r="38" spans="2:12" hidden="1" x14ac:dyDescent="0.2">
      <c r="B38" s="57" t="s">
        <v>19</v>
      </c>
      <c r="C38" s="58"/>
      <c r="D38" s="59"/>
      <c r="E38" s="63">
        <f>M26</f>
        <v>6300</v>
      </c>
    </row>
    <row r="39" spans="2:12" hidden="1" x14ac:dyDescent="0.2">
      <c r="B39" s="60"/>
      <c r="C39" s="61"/>
      <c r="D39" s="62"/>
      <c r="E39" s="64"/>
    </row>
    <row r="40" spans="2:12" hidden="1" x14ac:dyDescent="0.2"/>
  </sheetData>
  <mergeCells count="32">
    <mergeCell ref="A25:D25"/>
    <mergeCell ref="I25:J25"/>
    <mergeCell ref="A26:D26"/>
    <mergeCell ref="I26:J26"/>
    <mergeCell ref="A27:B27"/>
    <mergeCell ref="F9:H9"/>
    <mergeCell ref="A9:A10"/>
    <mergeCell ref="A8:O8"/>
    <mergeCell ref="C9:E9"/>
    <mergeCell ref="B9:B10"/>
    <mergeCell ref="A24:D24"/>
    <mergeCell ref="I24:J24"/>
    <mergeCell ref="L9:L10"/>
    <mergeCell ref="O9:O10"/>
    <mergeCell ref="I9:I10"/>
    <mergeCell ref="J9:J10"/>
    <mergeCell ref="K9:K10"/>
    <mergeCell ref="M9:M10"/>
    <mergeCell ref="N9:N10"/>
    <mergeCell ref="A1:E1"/>
    <mergeCell ref="A2:E2"/>
    <mergeCell ref="A3:E3"/>
    <mergeCell ref="A4:E4"/>
    <mergeCell ref="A5:E5"/>
    <mergeCell ref="B38:D39"/>
    <mergeCell ref="E38:E39"/>
    <mergeCell ref="B29:D30"/>
    <mergeCell ref="B32:D33"/>
    <mergeCell ref="B35:D36"/>
    <mergeCell ref="E35:E36"/>
    <mergeCell ref="E29:E30"/>
    <mergeCell ref="E32:E33"/>
  </mergeCells>
  <phoneticPr fontId="1" type="noConversion"/>
  <pageMargins left="0.25" right="0.25" top="0.75" bottom="0.75" header="0.3" footer="0.3"/>
  <pageSetup scale="55" fitToHeight="20" orientation="landscape" horizontalDpi="300" verticalDpi="1200" r:id="rId1"/>
  <headerFooter alignWithMargins="0">
    <oddFooter>&amp;C&amp;"Times New Roman,Regular"Page &amp;P of &amp;N
© 2022 by Loss Solutions Group, LLC. All rights reserved.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3" x14ac:dyDescent="0.15"/>
  <sheetData/>
  <phoneticPr fontId="1" type="noConversion"/>
  <pageMargins left="0.75" right="0.75" top="1" bottom="1" header="0.5" footer="0.5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3" x14ac:dyDescent="0.15"/>
  <sheetData/>
  <phoneticPr fontId="1" type="noConversion"/>
  <pageMargins left="0.75" right="0.75" top="1" bottom="1" header="0.5" footer="0.5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Loss Solutions Group</dc:creator>
  <cp:keywords/>
  <dc:description/>
  <cp:lastModifiedBy>Emma Muhleman</cp:lastModifiedBy>
  <cp:revision/>
  <dcterms:created xsi:type="dcterms:W3CDTF">2007-08-27T01:37:34Z</dcterms:created>
  <dcterms:modified xsi:type="dcterms:W3CDTF">2026-02-17T16:41:29Z</dcterms:modified>
  <cp:category/>
  <cp:contentStatus/>
</cp:coreProperties>
</file>