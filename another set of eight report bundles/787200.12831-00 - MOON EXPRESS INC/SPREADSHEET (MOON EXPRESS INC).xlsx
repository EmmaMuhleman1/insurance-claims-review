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oon Express Inc/"/>
    </mc:Choice>
  </mc:AlternateContent>
  <xr:revisionPtr revIDLastSave="0" documentId="13_ncr:1_{6B6E8D17-EE15-3F4B-8B06-53B7AFC14036}" xr6:coauthVersionLast="47" xr6:coauthVersionMax="47" xr10:uidLastSave="{00000000-0000-0000-0000-000000000000}"/>
  <bookViews>
    <workbookView xWindow="3140" yWindow="300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0" i="1" l="1"/>
  <c r="E37" i="1"/>
  <c r="E34" i="1"/>
  <c r="E31" i="1"/>
  <c r="H25" i="1"/>
  <c r="E25" i="1"/>
  <c r="H24" i="1"/>
  <c r="E24" i="1"/>
  <c r="E23" i="1"/>
  <c r="H11" i="1"/>
  <c r="L11" i="1"/>
  <c r="L12" i="1"/>
  <c r="L13" i="1"/>
  <c r="L14" i="1"/>
  <c r="E13" i="1"/>
  <c r="H13" i="1"/>
  <c r="E14" i="1"/>
  <c r="H14" i="1"/>
  <c r="E11" i="1"/>
  <c r="K13" i="1" l="1"/>
  <c r="E26" i="1"/>
  <c r="E28" i="1" s="1"/>
  <c r="G23" i="1"/>
  <c r="H23" i="1" s="1"/>
  <c r="K25" i="1"/>
  <c r="M25" i="1" s="1"/>
  <c r="K24" i="1"/>
  <c r="M24" i="1" s="1"/>
  <c r="K23" i="1"/>
  <c r="H26" i="1"/>
  <c r="H28" i="1" s="1"/>
  <c r="K14" i="1"/>
  <c r="M14" i="1" s="1"/>
  <c r="K11" i="1"/>
  <c r="M13" i="1"/>
  <c r="K26" i="1" l="1"/>
  <c r="K28" i="1" s="1"/>
  <c r="M23" i="1"/>
  <c r="M26" i="1" s="1"/>
  <c r="M28" i="1" s="1"/>
  <c r="E12" i="1"/>
  <c r="H12" i="1"/>
  <c r="K12" i="1" s="1"/>
  <c r="E15" i="1" l="1"/>
  <c r="E17" i="1" s="1"/>
  <c r="M12" i="1"/>
  <c r="H15" i="1" l="1"/>
  <c r="H17" i="1" s="1"/>
  <c r="K15" i="1"/>
  <c r="K17" i="1" s="1"/>
  <c r="M11" i="1" l="1"/>
  <c r="M15" i="1" s="1"/>
  <c r="M17" i="1" s="1"/>
</calcChain>
</file>

<file path=xl/sharedStrings.xml><?xml version="1.0" encoding="utf-8"?>
<sst xmlns="http://schemas.openxmlformats.org/spreadsheetml/2006/main" count="78" uniqueCount="43">
  <si>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</si>
  <si>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</si>
  <si>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</si>
  <si>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</si>
  <si>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</si>
  <si>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</si>
  <si>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</si>
  <si>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</si>
  <si>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</si>
  <si>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</si>
  <si>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</si>
  <si>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</si>
  <si>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</si>
  <si>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</si>
  <si>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</si>
  <si>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</si>
  <si>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</si>
  <si>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</si>
  <si>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</si>
  <si>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</si>
  <si>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MOON EXPRESS INC</t>
  </si>
  <si>
    <t xml:space="preserve">LSG MATTER #: 787200.12831-00 </t>
  </si>
  <si>
    <t>CLAIM #: F2X8198</t>
  </si>
  <si>
    <t>DATE OF LOSS: 11/17/2025</t>
  </si>
  <si>
    <t>CAUSE OF LOSS: TRANSIT</t>
  </si>
  <si>
    <t>BARBERAN, S.A. (34 93 635 08 10) INVOICE # ORS25004545</t>
  </si>
  <si>
    <t>ELECTRICAL CABINET</t>
  </si>
  <si>
    <t>COMPLETE ADJUSTABLE BROKE ASSEMBLY</t>
  </si>
  <si>
    <t>LEFT SIDE GUARD FOR THE TILT TABLE</t>
  </si>
  <si>
    <t>CONVEYOR ROLLERS</t>
  </si>
  <si>
    <t>ELECTRICAL CABINET 1060X550X250MM (WITHOUT ELECTRICAL COMPONENTS)</t>
  </si>
  <si>
    <t xml:space="preserve">COMPLETE ADJUSTABLE BRAKE ASSEMBLY </t>
  </si>
  <si>
    <t>CONVEYOR ROLLERS FOR THE ENTRANCE AND EXIT OF THE TILT TABLES</t>
  </si>
  <si>
    <t>AVERAGE</t>
  </si>
  <si>
    <t>N/A</t>
  </si>
  <si>
    <t>HILTON GARDEN INN ARCADIA / PASADENA AREA. ONE ROOM FOR TWO NIGHTS. (11/23/25 - 11/24/25)</t>
  </si>
  <si>
    <t>TRAVEL EXPENSES: FLIGHT</t>
  </si>
  <si>
    <t>TRAVEL EXPENSES: HOTEL STAY</t>
  </si>
  <si>
    <t>ROUND TRIP FLIGHT ON AMERICAN AIRLINES FLIGHT #110TUY6 FROM GREENSBORO NC, TO ORANGE COUNTY CA.</t>
  </si>
  <si>
    <t>TRAVEL EXPENSES: CAR RENTAL</t>
  </si>
  <si>
    <t>CAR RENTAL FOR 2 DAYS FROM NATIONAL CAR RENTAL.</t>
  </si>
  <si>
    <t>TRECO TECH &amp; SUPPLY INC. (COSTS SUBMITTED FOR THE REPAIR)</t>
  </si>
  <si>
    <t>LEFT SIDE GUARD FOR THE FILT TABLE COMPLETE WITH LINEAL BEARINGS AND HANDLES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</si>
</sst>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25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left" wrapText="1"/>
    </xf>
    <xf numFmtId="44" fontId="7" fillId="2" borderId="25" xfId="1" applyFont="1" applyFill="1" applyBorder="1" applyAlignment="1">
      <alignment horizontal="center"/>
    </xf>
    <xf numFmtId="0" fontId="7" fillId="2" borderId="25" xfId="1" applyNumberFormat="1" applyFont="1" applyFill="1" applyBorder="1" applyAlignment="1">
      <alignment horizontal="center"/>
    </xf>
    <xf numFmtId="9" fontId="7" fillId="2" borderId="25" xfId="6" applyFont="1" applyFill="1" applyBorder="1" applyAlignment="1">
      <alignment horizontal="center"/>
    </xf>
    <xf numFmtId="0" fontId="7" fillId="2" borderId="25" xfId="1" applyNumberFormat="1" applyFont="1" applyFill="1" applyBorder="1" applyAlignment="1">
      <alignment horizontal="center" wrapText="1"/>
    </xf>
    <xf numFmtId="0" fontId="7" fillId="0" borderId="25" xfId="0" applyFont="1" applyBorder="1" applyAlignment="1">
      <alignment horizontal="left" wrapText="1"/>
    </xf>
    <xf numFmtId="44" fontId="7" fillId="0" borderId="25" xfId="1" applyFont="1" applyFill="1" applyBorder="1" applyAlignment="1">
      <alignment horizontal="center"/>
    </xf>
    <xf numFmtId="0" fontId="7" fillId="0" borderId="25" xfId="1" applyNumberFormat="1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left" wrapText="1"/>
    </xf>
    <xf numFmtId="0" fontId="7" fillId="2" borderId="27" xfId="0" applyFont="1" applyFill="1" applyBorder="1" applyAlignment="1">
      <alignment horizontal="center"/>
    </xf>
    <xf numFmtId="44" fontId="7" fillId="2" borderId="27" xfId="1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/>
    </xf>
    <xf numFmtId="9" fontId="7" fillId="2" borderId="27" xfId="6" applyFont="1" applyFill="1" applyBorder="1" applyAlignment="1">
      <alignment horizontal="center"/>
    </xf>
    <xf numFmtId="0" fontId="7" fillId="2" borderId="27" xfId="1" applyNumberFormat="1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left" wrapText="1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left" wrapText="1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left" wrapText="1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left" wrapText="1"/>
    </xf>
    <xf numFmtId="0" fontId="7" fillId="2" borderId="32" xfId="0" applyFont="1" applyFill="1" applyBorder="1" applyAlignment="1">
      <alignment horizontal="center"/>
    </xf>
    <xf numFmtId="44" fontId="7" fillId="0" borderId="32" xfId="1" applyFont="1" applyFill="1" applyBorder="1" applyAlignment="1">
      <alignment horizontal="center"/>
    </xf>
    <xf numFmtId="0" fontId="7" fillId="2" borderId="32" xfId="1" applyNumberFormat="1" applyFont="1" applyFill="1" applyBorder="1" applyAlignment="1">
      <alignment horizontal="center"/>
    </xf>
    <xf numFmtId="44" fontId="7" fillId="2" borderId="32" xfId="1" applyFont="1" applyFill="1" applyBorder="1" applyAlignment="1">
      <alignment horizontal="center"/>
    </xf>
    <xf numFmtId="9" fontId="7" fillId="2" borderId="32" xfId="6" applyFont="1" applyFill="1" applyBorder="1" applyAlignment="1">
      <alignment horizontal="center"/>
    </xf>
    <xf numFmtId="0" fontId="7" fillId="0" borderId="32" xfId="1" applyNumberFormat="1" applyFont="1" applyFill="1" applyBorder="1" applyAlignment="1">
      <alignment horizontal="center" wrapText="1"/>
    </xf>
    <xf numFmtId="0" fontId="7" fillId="0" borderId="33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1" applyNumberFormat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1"/>
  <sheetViews>
    <sheetView tabSelected="1" zoomScale="80" zoomScaleNormal="80" zoomScalePageLayoutView="90" workbookViewId="0">
      <selection activeCell="P14" sqref="P14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115" t="s">
        <v>20</v>
      </c>
      <c r="B1" s="116"/>
      <c r="C1" s="116"/>
      <c r="D1" s="116"/>
      <c r="E1" s="117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118" t="s">
        <v>21</v>
      </c>
      <c r="B2" s="119"/>
      <c r="C2" s="119"/>
      <c r="D2" s="119"/>
      <c r="E2" s="120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118" t="s">
        <v>22</v>
      </c>
      <c r="B3" s="119"/>
      <c r="C3" s="119"/>
      <c r="D3" s="119"/>
      <c r="E3" s="120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118" t="s">
        <v>23</v>
      </c>
      <c r="B4" s="119"/>
      <c r="C4" s="119"/>
      <c r="D4" s="119"/>
      <c r="E4" s="120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121" t="s">
        <v>24</v>
      </c>
      <c r="B5" s="122"/>
      <c r="C5" s="122"/>
      <c r="D5" s="122"/>
      <c r="E5" s="123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94" t="s">
        <v>25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6"/>
    </row>
    <row r="9" spans="1:18" ht="24" customHeight="1" x14ac:dyDescent="0.2">
      <c r="A9" s="97" t="s">
        <v>0</v>
      </c>
      <c r="B9" s="99" t="s">
        <v>1</v>
      </c>
      <c r="C9" s="101" t="s">
        <v>2</v>
      </c>
      <c r="D9" s="102"/>
      <c r="E9" s="103"/>
      <c r="F9" s="101" t="s">
        <v>3</v>
      </c>
      <c r="G9" s="102"/>
      <c r="H9" s="103"/>
      <c r="I9" s="104" t="s">
        <v>4</v>
      </c>
      <c r="J9" s="104" t="s">
        <v>5</v>
      </c>
      <c r="K9" s="104" t="s">
        <v>6</v>
      </c>
      <c r="L9" s="104" t="s">
        <v>7</v>
      </c>
      <c r="M9" s="104" t="s">
        <v>8</v>
      </c>
      <c r="N9" s="104" t="s">
        <v>9</v>
      </c>
      <c r="O9" s="97" t="s">
        <v>10</v>
      </c>
    </row>
    <row r="10" spans="1:18" s="4" customFormat="1" ht="24" customHeight="1" thickBot="1" x14ac:dyDescent="0.25">
      <c r="A10" s="98"/>
      <c r="B10" s="100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105"/>
      <c r="J10" s="105"/>
      <c r="K10" s="105"/>
      <c r="L10" s="105"/>
      <c r="M10" s="105"/>
      <c r="N10" s="105"/>
      <c r="O10" s="98"/>
    </row>
    <row r="11" spans="1:18" s="4" customFormat="1" ht="65" customHeight="1" x14ac:dyDescent="0.2">
      <c r="A11" s="56">
        <v>1</v>
      </c>
      <c r="B11" s="57" t="s">
        <v>26</v>
      </c>
      <c r="C11" s="58">
        <v>1</v>
      </c>
      <c r="D11" s="59">
        <v>1034.47</v>
      </c>
      <c r="E11" s="59">
        <f>C11*D11</f>
        <v>1034.47</v>
      </c>
      <c r="F11" s="58">
        <v>1</v>
      </c>
      <c r="G11" s="59">
        <v>1034.47</v>
      </c>
      <c r="H11" s="59">
        <f>F11*G11</f>
        <v>1034.47</v>
      </c>
      <c r="I11" s="60">
        <v>9</v>
      </c>
      <c r="J11" s="60">
        <v>20</v>
      </c>
      <c r="K11" s="59">
        <f>H11*(1-L11)</f>
        <v>568.95850000000007</v>
      </c>
      <c r="L11" s="61">
        <f>IF((I11/J11)&gt;=0.75,0.75,IF((I11/J11)&gt;=0,(I11/J11),IF((I11/J11)&lt;=1,0)))</f>
        <v>0.45</v>
      </c>
      <c r="M11" s="59">
        <f>H11-K11</f>
        <v>465.51149999999996</v>
      </c>
      <c r="N11" s="62" t="s">
        <v>33</v>
      </c>
      <c r="O11" s="63" t="s">
        <v>30</v>
      </c>
      <c r="R11" s="33"/>
    </row>
    <row r="12" spans="1:18" s="4" customFormat="1" ht="65" customHeight="1" x14ac:dyDescent="0.2">
      <c r="A12" s="64">
        <v>2</v>
      </c>
      <c r="B12" s="53" t="s">
        <v>27</v>
      </c>
      <c r="C12" s="47">
        <v>1</v>
      </c>
      <c r="D12" s="54">
        <v>9833.43</v>
      </c>
      <c r="E12" s="54">
        <f t="shared" ref="E12:E14" si="0">C12*D12</f>
        <v>9833.43</v>
      </c>
      <c r="F12" s="47">
        <v>1</v>
      </c>
      <c r="G12" s="54">
        <v>9833.43</v>
      </c>
      <c r="H12" s="54">
        <f t="shared" ref="H12" si="1">F12*G12</f>
        <v>9833.43</v>
      </c>
      <c r="I12" s="50">
        <v>9</v>
      </c>
      <c r="J12" s="50">
        <v>20</v>
      </c>
      <c r="K12" s="49">
        <f t="shared" ref="K12:K14" si="2">H12*(1-L12)</f>
        <v>5408.3865000000005</v>
      </c>
      <c r="L12" s="51">
        <f t="shared" ref="L12:L14" si="3">IF((I12/J12)&gt;=0.75,0.75,IF((I12/J12)&gt;=0.1,(I12/J12),IF((I12/J12)&lt;=0.1,0.1)))</f>
        <v>0.45</v>
      </c>
      <c r="M12" s="49">
        <f t="shared" ref="M12:M14" si="4">H12-K12</f>
        <v>4425.0434999999998</v>
      </c>
      <c r="N12" s="55" t="s">
        <v>33</v>
      </c>
      <c r="O12" s="65" t="s">
        <v>31</v>
      </c>
    </row>
    <row r="13" spans="1:18" s="4" customFormat="1" ht="65" customHeight="1" x14ac:dyDescent="0.2">
      <c r="A13" s="66">
        <v>3</v>
      </c>
      <c r="B13" s="48" t="s">
        <v>28</v>
      </c>
      <c r="C13" s="47">
        <v>1</v>
      </c>
      <c r="D13" s="49">
        <v>3580.29</v>
      </c>
      <c r="E13" s="49">
        <f t="shared" si="0"/>
        <v>3580.29</v>
      </c>
      <c r="F13" s="47">
        <v>1</v>
      </c>
      <c r="G13" s="49">
        <v>3580.29</v>
      </c>
      <c r="H13" s="49">
        <f>F13*G13</f>
        <v>3580.29</v>
      </c>
      <c r="I13" s="50">
        <v>9</v>
      </c>
      <c r="J13" s="50">
        <v>20</v>
      </c>
      <c r="K13" s="49">
        <f t="shared" si="2"/>
        <v>1969.1595000000002</v>
      </c>
      <c r="L13" s="51">
        <f t="shared" si="3"/>
        <v>0.45</v>
      </c>
      <c r="M13" s="49">
        <f t="shared" si="4"/>
        <v>1611.1304999999998</v>
      </c>
      <c r="N13" s="52" t="s">
        <v>33</v>
      </c>
      <c r="O13" s="67" t="s">
        <v>42</v>
      </c>
    </row>
    <row r="14" spans="1:18" s="4" customFormat="1" ht="65" customHeight="1" thickBot="1" x14ac:dyDescent="0.25">
      <c r="A14" s="68">
        <v>4</v>
      </c>
      <c r="B14" s="69" t="s">
        <v>29</v>
      </c>
      <c r="C14" s="70">
        <v>2</v>
      </c>
      <c r="D14" s="71">
        <v>2410.33</v>
      </c>
      <c r="E14" s="71">
        <f t="shared" si="0"/>
        <v>4820.66</v>
      </c>
      <c r="F14" s="70">
        <v>2</v>
      </c>
      <c r="G14" s="71">
        <v>2410.33</v>
      </c>
      <c r="H14" s="71">
        <f t="shared" ref="H14" si="5">F14*G14</f>
        <v>4820.66</v>
      </c>
      <c r="I14" s="72">
        <v>9</v>
      </c>
      <c r="J14" s="72">
        <v>20</v>
      </c>
      <c r="K14" s="73">
        <f t="shared" si="2"/>
        <v>2651.3630000000003</v>
      </c>
      <c r="L14" s="74">
        <f t="shared" si="3"/>
        <v>0.45</v>
      </c>
      <c r="M14" s="73">
        <f t="shared" si="4"/>
        <v>2169.2969999999996</v>
      </c>
      <c r="N14" s="75" t="s">
        <v>33</v>
      </c>
      <c r="O14" s="76" t="s">
        <v>32</v>
      </c>
    </row>
    <row r="15" spans="1:18" s="4" customFormat="1" ht="18" customHeight="1" thickBot="1" x14ac:dyDescent="0.25">
      <c r="A15" s="82" t="s">
        <v>14</v>
      </c>
      <c r="B15" s="83"/>
      <c r="C15" s="83"/>
      <c r="D15" s="84"/>
      <c r="E15" s="19">
        <f>SUM(E11:E14)</f>
        <v>19268.849999999999</v>
      </c>
      <c r="F15" s="20"/>
      <c r="G15" s="21"/>
      <c r="H15" s="22">
        <f>SUM(H11:H14)</f>
        <v>19268.849999999999</v>
      </c>
      <c r="I15" s="85"/>
      <c r="J15" s="86"/>
      <c r="K15" s="23">
        <f>SUM(K11:K14)</f>
        <v>10597.8675</v>
      </c>
      <c r="L15" s="23"/>
      <c r="M15" s="23">
        <f>SUM(M11:M14)</f>
        <v>8670.9824999999983</v>
      </c>
      <c r="N15"/>
    </row>
    <row r="16" spans="1:18" s="4" customFormat="1" ht="18" customHeight="1" x14ac:dyDescent="0.2">
      <c r="A16" s="87" t="s">
        <v>15</v>
      </c>
      <c r="B16" s="88"/>
      <c r="C16" s="88"/>
      <c r="D16" s="89"/>
      <c r="E16" s="24">
        <v>0</v>
      </c>
      <c r="F16" s="25"/>
      <c r="G16" s="26"/>
      <c r="H16" s="24">
        <v>0</v>
      </c>
      <c r="I16" s="90"/>
      <c r="J16" s="91"/>
      <c r="K16" s="27">
        <v>0</v>
      </c>
      <c r="L16" s="27"/>
      <c r="M16" s="27">
        <v>0</v>
      </c>
      <c r="N16"/>
    </row>
    <row r="17" spans="1:15" s="4" customFormat="1" ht="18" customHeight="1" thickBot="1" x14ac:dyDescent="0.25">
      <c r="A17" s="87" t="s">
        <v>13</v>
      </c>
      <c r="B17" s="88"/>
      <c r="C17" s="88"/>
      <c r="D17" s="89"/>
      <c r="E17" s="28">
        <f>SUM(E15:E16)</f>
        <v>19268.849999999999</v>
      </c>
      <c r="F17" s="29"/>
      <c r="G17" s="30"/>
      <c r="H17" s="28">
        <f>SUM(H15,H16)</f>
        <v>19268.849999999999</v>
      </c>
      <c r="I17" s="92"/>
      <c r="J17" s="93"/>
      <c r="K17" s="31">
        <f>SUM(K15:K16)</f>
        <v>10597.8675</v>
      </c>
      <c r="L17" s="31"/>
      <c r="M17" s="31">
        <f>SUM(M15:M16)</f>
        <v>8670.9824999999983</v>
      </c>
      <c r="N17"/>
    </row>
    <row r="18" spans="1:15" ht="15" customHeight="1" x14ac:dyDescent="0.2">
      <c r="A18" s="2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/>
      <c r="O18" s="2"/>
    </row>
    <row r="19" spans="1:15" ht="12.75" customHeight="1" thickBo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2"/>
    </row>
    <row r="20" spans="1:15" s="9" customFormat="1" ht="25.5" customHeight="1" thickBot="1" x14ac:dyDescent="0.2">
      <c r="A20" s="94" t="s">
        <v>41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6"/>
    </row>
    <row r="21" spans="1:15" ht="24" customHeight="1" thickBot="1" x14ac:dyDescent="0.25">
      <c r="A21" s="97" t="s">
        <v>0</v>
      </c>
      <c r="B21" s="99" t="s">
        <v>1</v>
      </c>
      <c r="C21" s="101" t="s">
        <v>2</v>
      </c>
      <c r="D21" s="102"/>
      <c r="E21" s="103"/>
      <c r="F21" s="101" t="s">
        <v>3</v>
      </c>
      <c r="G21" s="102"/>
      <c r="H21" s="103"/>
      <c r="I21" s="104" t="s">
        <v>4</v>
      </c>
      <c r="J21" s="104" t="s">
        <v>5</v>
      </c>
      <c r="K21" s="104" t="s">
        <v>6</v>
      </c>
      <c r="L21" s="104" t="s">
        <v>7</v>
      </c>
      <c r="M21" s="104" t="s">
        <v>8</v>
      </c>
      <c r="N21" s="104" t="s">
        <v>9</v>
      </c>
      <c r="O21" s="97" t="s">
        <v>10</v>
      </c>
    </row>
    <row r="22" spans="1:15" ht="24" customHeight="1" thickBot="1" x14ac:dyDescent="0.25">
      <c r="A22" s="98"/>
      <c r="B22" s="100"/>
      <c r="C22" s="11" t="s">
        <v>11</v>
      </c>
      <c r="D22" s="10" t="s">
        <v>12</v>
      </c>
      <c r="E22" s="12" t="s">
        <v>13</v>
      </c>
      <c r="F22" s="12" t="s">
        <v>11</v>
      </c>
      <c r="G22" s="12" t="s">
        <v>12</v>
      </c>
      <c r="H22" s="12" t="s">
        <v>13</v>
      </c>
      <c r="I22" s="105"/>
      <c r="J22" s="105"/>
      <c r="K22" s="105"/>
      <c r="L22" s="105"/>
      <c r="M22" s="105"/>
      <c r="N22" s="105"/>
      <c r="O22" s="98"/>
    </row>
    <row r="23" spans="1:15" ht="72" customHeight="1" x14ac:dyDescent="0.2">
      <c r="A23" s="34">
        <v>1</v>
      </c>
      <c r="B23" s="35" t="s">
        <v>37</v>
      </c>
      <c r="C23" s="36">
        <v>1</v>
      </c>
      <c r="D23" s="37">
        <v>289.95999999999998</v>
      </c>
      <c r="E23" s="37">
        <f t="shared" ref="E23:G25" si="6">C23*D23</f>
        <v>289.95999999999998</v>
      </c>
      <c r="F23" s="38">
        <v>1</v>
      </c>
      <c r="G23" s="37">
        <f t="shared" si="6"/>
        <v>289.95999999999998</v>
      </c>
      <c r="H23" s="37">
        <f>F23*G23</f>
        <v>289.95999999999998</v>
      </c>
      <c r="I23" s="38" t="s">
        <v>34</v>
      </c>
      <c r="J23" s="38" t="s">
        <v>34</v>
      </c>
      <c r="K23" s="37">
        <f>H23*(1-L23)</f>
        <v>289.95999999999998</v>
      </c>
      <c r="L23" s="39">
        <v>0</v>
      </c>
      <c r="M23" s="37">
        <f>H23-K23</f>
        <v>0</v>
      </c>
      <c r="N23" s="40" t="s">
        <v>34</v>
      </c>
      <c r="O23" s="41" t="s">
        <v>35</v>
      </c>
    </row>
    <row r="24" spans="1:15" ht="70" customHeight="1" x14ac:dyDescent="0.2">
      <c r="A24" s="42">
        <v>2</v>
      </c>
      <c r="B24" s="16" t="s">
        <v>36</v>
      </c>
      <c r="C24" s="13">
        <v>1</v>
      </c>
      <c r="D24" s="14">
        <v>2075.36</v>
      </c>
      <c r="E24" s="14">
        <f t="shared" si="6"/>
        <v>2075.36</v>
      </c>
      <c r="F24" s="13">
        <v>1</v>
      </c>
      <c r="G24" s="14">
        <v>2075.36</v>
      </c>
      <c r="H24" s="14">
        <f t="shared" ref="H24:H25" si="7">F24*G24</f>
        <v>2075.36</v>
      </c>
      <c r="I24" s="17" t="s">
        <v>34</v>
      </c>
      <c r="J24" s="17" t="s">
        <v>34</v>
      </c>
      <c r="K24" s="14">
        <f t="shared" ref="K24:K25" si="8">H24*(1-L24)</f>
        <v>2075.36</v>
      </c>
      <c r="L24" s="15">
        <v>0</v>
      </c>
      <c r="M24" s="14">
        <f t="shared" ref="M24:M25" si="9">H24-K24</f>
        <v>0</v>
      </c>
      <c r="N24" s="18" t="s">
        <v>34</v>
      </c>
      <c r="O24" s="43" t="s">
        <v>38</v>
      </c>
    </row>
    <row r="25" spans="1:15" ht="65" customHeight="1" thickBot="1" x14ac:dyDescent="0.25">
      <c r="A25" s="77">
        <v>3</v>
      </c>
      <c r="B25" s="78" t="s">
        <v>39</v>
      </c>
      <c r="C25" s="44">
        <v>1</v>
      </c>
      <c r="D25" s="45">
        <v>229</v>
      </c>
      <c r="E25" s="45">
        <f t="shared" si="6"/>
        <v>229</v>
      </c>
      <c r="F25" s="44">
        <v>1</v>
      </c>
      <c r="G25" s="45">
        <v>229</v>
      </c>
      <c r="H25" s="45">
        <f t="shared" si="7"/>
        <v>229</v>
      </c>
      <c r="I25" s="79" t="s">
        <v>34</v>
      </c>
      <c r="J25" s="79" t="s">
        <v>34</v>
      </c>
      <c r="K25" s="45">
        <f t="shared" si="8"/>
        <v>229</v>
      </c>
      <c r="L25" s="46">
        <v>0</v>
      </c>
      <c r="M25" s="45">
        <f t="shared" si="9"/>
        <v>0</v>
      </c>
      <c r="N25" s="80" t="s">
        <v>34</v>
      </c>
      <c r="O25" s="81" t="s">
        <v>40</v>
      </c>
    </row>
    <row r="26" spans="1:15" s="4" customFormat="1" ht="18" customHeight="1" thickBot="1" x14ac:dyDescent="0.25">
      <c r="A26" s="82" t="s">
        <v>14</v>
      </c>
      <c r="B26" s="83"/>
      <c r="C26" s="83"/>
      <c r="D26" s="84"/>
      <c r="E26" s="19">
        <f>SUM(E23:E25)</f>
        <v>2594.3200000000002</v>
      </c>
      <c r="F26" s="20"/>
      <c r="G26" s="21"/>
      <c r="H26" s="22">
        <f>SUM(H23:H25)</f>
        <v>2594.3200000000002</v>
      </c>
      <c r="I26" s="85"/>
      <c r="J26" s="86"/>
      <c r="K26" s="23">
        <f>SUM(K23:K25)</f>
        <v>2594.3200000000002</v>
      </c>
      <c r="L26" s="23"/>
      <c r="M26" s="23">
        <f>SUM(M23:M25)</f>
        <v>0</v>
      </c>
      <c r="N26"/>
    </row>
    <row r="27" spans="1:15" s="4" customFormat="1" ht="18" customHeight="1" thickBot="1" x14ac:dyDescent="0.25">
      <c r="A27" s="87" t="s">
        <v>15</v>
      </c>
      <c r="B27" s="88"/>
      <c r="C27" s="88"/>
      <c r="D27" s="89"/>
      <c r="E27" s="24">
        <v>0</v>
      </c>
      <c r="F27" s="25"/>
      <c r="G27" s="26"/>
      <c r="H27" s="24">
        <v>0</v>
      </c>
      <c r="I27" s="90"/>
      <c r="J27" s="91"/>
      <c r="K27" s="27">
        <v>0</v>
      </c>
      <c r="L27" s="27"/>
      <c r="M27" s="27">
        <v>0</v>
      </c>
      <c r="N27"/>
    </row>
    <row r="28" spans="1:15" s="4" customFormat="1" ht="18" customHeight="1" thickBot="1" x14ac:dyDescent="0.25">
      <c r="A28" s="87" t="s">
        <v>13</v>
      </c>
      <c r="B28" s="88"/>
      <c r="C28" s="88"/>
      <c r="D28" s="89"/>
      <c r="E28" s="28">
        <f>SUM(E26:E27)</f>
        <v>2594.3200000000002</v>
      </c>
      <c r="F28" s="29"/>
      <c r="G28" s="30"/>
      <c r="H28" s="28">
        <f>SUM(H26,H27)</f>
        <v>2594.3200000000002</v>
      </c>
      <c r="I28" s="92"/>
      <c r="J28" s="93"/>
      <c r="K28" s="31">
        <f>SUM(K26:K27)</f>
        <v>2594.3200000000002</v>
      </c>
      <c r="L28" s="31"/>
      <c r="M28" s="31">
        <f>SUM(M26:M27)</f>
        <v>0</v>
      </c>
      <c r="N28"/>
    </row>
    <row r="29" spans="1:15" ht="12.75" customHeight="1" x14ac:dyDescent="0.2">
      <c r="A29" s="124"/>
      <c r="B29" s="12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1" spans="1:15" x14ac:dyDescent="0.2">
      <c r="B31" s="106" t="s">
        <v>16</v>
      </c>
      <c r="C31" s="107"/>
      <c r="D31" s="108"/>
      <c r="E31" s="112">
        <f>E28+E17</f>
        <v>21863.17</v>
      </c>
    </row>
    <row r="32" spans="1:15" x14ac:dyDescent="0.2">
      <c r="B32" s="109"/>
      <c r="C32" s="110"/>
      <c r="D32" s="111"/>
      <c r="E32" s="114"/>
    </row>
    <row r="34" spans="2:12" x14ac:dyDescent="0.2">
      <c r="B34" s="106" t="s">
        <v>17</v>
      </c>
      <c r="C34" s="107"/>
      <c r="D34" s="108"/>
      <c r="E34" s="112">
        <f>H28+H17</f>
        <v>21863.17</v>
      </c>
    </row>
    <row r="35" spans="2:12" x14ac:dyDescent="0.2">
      <c r="B35" s="109"/>
      <c r="C35" s="110"/>
      <c r="D35" s="111"/>
      <c r="E35" s="114"/>
    </row>
    <row r="37" spans="2:12" x14ac:dyDescent="0.2">
      <c r="B37" s="106" t="s">
        <v>18</v>
      </c>
      <c r="C37" s="107"/>
      <c r="D37" s="108"/>
      <c r="E37" s="112">
        <f>K28+K17</f>
        <v>13192.1875</v>
      </c>
    </row>
    <row r="38" spans="2:12" x14ac:dyDescent="0.2">
      <c r="B38" s="109"/>
      <c r="C38" s="110"/>
      <c r="D38" s="111"/>
      <c r="E38" s="114"/>
      <c r="I38" s="7"/>
      <c r="J38" s="7"/>
      <c r="K38" s="7"/>
      <c r="L38" s="7"/>
    </row>
    <row r="39" spans="2:12" x14ac:dyDescent="0.2">
      <c r="I39" s="7"/>
      <c r="J39" s="7"/>
      <c r="K39" s="7"/>
      <c r="L39" s="7"/>
    </row>
    <row r="40" spans="2:12" x14ac:dyDescent="0.2">
      <c r="B40" s="106" t="s">
        <v>19</v>
      </c>
      <c r="C40" s="107"/>
      <c r="D40" s="108"/>
      <c r="E40" s="112">
        <f>M28+M17</f>
        <v>8670.9824999999983</v>
      </c>
    </row>
    <row r="41" spans="2:12" x14ac:dyDescent="0.2">
      <c r="B41" s="109"/>
      <c r="C41" s="110"/>
      <c r="D41" s="111"/>
      <c r="E41" s="113"/>
    </row>
  </sheetData>
  <mergeCells count="50">
    <mergeCell ref="A16:D16"/>
    <mergeCell ref="I16:J16"/>
    <mergeCell ref="A17:D17"/>
    <mergeCell ref="I17:J17"/>
    <mergeCell ref="A29:B29"/>
    <mergeCell ref="F9:H9"/>
    <mergeCell ref="A9:A10"/>
    <mergeCell ref="A8:O8"/>
    <mergeCell ref="C9:E9"/>
    <mergeCell ref="B9:B10"/>
    <mergeCell ref="A15:D15"/>
    <mergeCell ref="I15:J15"/>
    <mergeCell ref="L9:L10"/>
    <mergeCell ref="O9:O10"/>
    <mergeCell ref="I9:I10"/>
    <mergeCell ref="J9:J10"/>
    <mergeCell ref="K9:K10"/>
    <mergeCell ref="M9:M10"/>
    <mergeCell ref="N9:N10"/>
    <mergeCell ref="A1:E1"/>
    <mergeCell ref="A2:E2"/>
    <mergeCell ref="A3:E3"/>
    <mergeCell ref="A4:E4"/>
    <mergeCell ref="A5:E5"/>
    <mergeCell ref="B40:D41"/>
    <mergeCell ref="E40:E41"/>
    <mergeCell ref="B31:D32"/>
    <mergeCell ref="B34:D35"/>
    <mergeCell ref="B37:D38"/>
    <mergeCell ref="E37:E38"/>
    <mergeCell ref="E31:E32"/>
    <mergeCell ref="E34:E35"/>
    <mergeCell ref="A20:O20"/>
    <mergeCell ref="A21:A22"/>
    <mergeCell ref="B21:B22"/>
    <mergeCell ref="C21:E21"/>
    <mergeCell ref="F21:H21"/>
    <mergeCell ref="I21:I22"/>
    <mergeCell ref="J21:J22"/>
    <mergeCell ref="K21:K22"/>
    <mergeCell ref="L21:L22"/>
    <mergeCell ref="M21:M22"/>
    <mergeCell ref="N21:N22"/>
    <mergeCell ref="O21:O22"/>
    <mergeCell ref="A26:D26"/>
    <mergeCell ref="I26:J26"/>
    <mergeCell ref="A27:D27"/>
    <mergeCell ref="I27:J27"/>
    <mergeCell ref="A28:D28"/>
    <mergeCell ref="I28:J28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2026-02-17T04:14:39Z</dcterms:modified>
  <cp:category/>
  <cp:contentStatus/>
</cp:coreProperties>
</file>