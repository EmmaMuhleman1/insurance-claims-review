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AI &amp; Val, Inc. DBA Charlie's Diner (re-open)/"/>
    </mc:Choice>
  </mc:AlternateContent>
  <xr:revisionPtr revIDLastSave="0" documentId="13_ncr:1_{6005BF4D-23BE-D947-9F11-84CEC4C585D4}" xr6:coauthVersionLast="47" xr6:coauthVersionMax="47" xr10:uidLastSave="{00000000-0000-0000-0000-000000000000}"/>
  <bookViews>
    <workbookView xWindow="3760" yWindow="272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6" i="1" l="1"/>
  <c r="E27" i="1"/>
  <c r="L45" i="1"/>
  <c r="L44" i="1"/>
  <c r="L42" i="1"/>
  <c r="L37" i="1"/>
  <c r="K37" i="1" s="1"/>
  <c r="M37" i="1" s="1"/>
  <c r="L36" i="1"/>
  <c r="K36" i="1" s="1"/>
  <c r="M36" i="1" s="1"/>
  <c r="L32" i="1"/>
  <c r="K32" i="1" s="1"/>
  <c r="M32" i="1" s="1"/>
  <c r="L30" i="1"/>
  <c r="K30" i="1" s="1"/>
  <c r="M30" i="1" s="1"/>
  <c r="L28" i="1"/>
  <c r="K28" i="1" s="1"/>
  <c r="M28" i="1" s="1"/>
  <c r="L25" i="1"/>
  <c r="K25" i="1" s="1"/>
  <c r="M25" i="1" s="1"/>
  <c r="L22" i="1"/>
  <c r="K22" i="1" s="1"/>
  <c r="M22" i="1" s="1"/>
  <c r="L43" i="1"/>
  <c r="L41" i="1"/>
  <c r="L40" i="1"/>
  <c r="L39" i="1"/>
  <c r="K39" i="1" s="1"/>
  <c r="M39" i="1" s="1"/>
  <c r="L38" i="1"/>
  <c r="L35" i="1"/>
  <c r="K35" i="1" s="1"/>
  <c r="M35" i="1" s="1"/>
  <c r="L34" i="1"/>
  <c r="K34" i="1" s="1"/>
  <c r="M34" i="1" s="1"/>
  <c r="L33" i="1"/>
  <c r="K33" i="1" s="1"/>
  <c r="M33" i="1" s="1"/>
  <c r="L31" i="1"/>
  <c r="K31" i="1" s="1"/>
  <c r="M31" i="1" s="1"/>
  <c r="L29" i="1"/>
  <c r="K29" i="1" s="1"/>
  <c r="M29" i="1" s="1"/>
  <c r="L27" i="1"/>
  <c r="K27" i="1" s="1"/>
  <c r="M27" i="1" s="1"/>
  <c r="L26" i="1"/>
  <c r="K26" i="1"/>
  <c r="M26" i="1" s="1"/>
  <c r="L24" i="1"/>
  <c r="K24" i="1"/>
  <c r="M24" i="1" s="1"/>
  <c r="L23" i="1"/>
  <c r="K23" i="1" s="1"/>
  <c r="M23" i="1" s="1"/>
  <c r="L20" i="1"/>
  <c r="K20" i="1" s="1"/>
  <c r="M20" i="1" s="1"/>
  <c r="L19" i="1"/>
  <c r="K19" i="1" s="1"/>
  <c r="M19" i="1" s="1"/>
  <c r="L18" i="1"/>
  <c r="K18" i="1" s="1"/>
  <c r="M18" i="1" s="1"/>
  <c r="L17" i="1"/>
  <c r="K17" i="1"/>
  <c r="M17" i="1" s="1"/>
  <c r="L16" i="1"/>
  <c r="K16" i="1" s="1"/>
  <c r="M16" i="1" s="1"/>
  <c r="L15" i="1"/>
  <c r="K15" i="1" s="1"/>
  <c r="M15" i="1" s="1"/>
  <c r="L14" i="1"/>
  <c r="K14" i="1"/>
  <c r="M14" i="1" s="1"/>
  <c r="L13" i="1"/>
  <c r="K13" i="1" s="1"/>
  <c r="M13" i="1" s="1"/>
  <c r="H45" i="1"/>
  <c r="E45" i="1"/>
  <c r="H44" i="1"/>
  <c r="E44" i="1"/>
  <c r="H43" i="1"/>
  <c r="K43" i="1" s="1"/>
  <c r="M43" i="1" s="1"/>
  <c r="E43" i="1"/>
  <c r="H42" i="1"/>
  <c r="E42" i="1"/>
  <c r="H41" i="1"/>
  <c r="E41" i="1"/>
  <c r="H40" i="1"/>
  <c r="E40" i="1"/>
  <c r="H39" i="1"/>
  <c r="E39" i="1"/>
  <c r="H38" i="1"/>
  <c r="K38" i="1" s="1"/>
  <c r="M38" i="1" s="1"/>
  <c r="E38" i="1"/>
  <c r="H37" i="1"/>
  <c r="E37" i="1"/>
  <c r="H36" i="1"/>
  <c r="E36" i="1"/>
  <c r="H35" i="1"/>
  <c r="E35" i="1"/>
  <c r="H34" i="1"/>
  <c r="E34" i="1"/>
  <c r="H33" i="1"/>
  <c r="E33" i="1"/>
  <c r="H32" i="1"/>
  <c r="E32" i="1"/>
  <c r="H31" i="1"/>
  <c r="E31" i="1"/>
  <c r="H30" i="1"/>
  <c r="E30" i="1"/>
  <c r="H29" i="1"/>
  <c r="E29" i="1"/>
  <c r="H28" i="1"/>
  <c r="E28" i="1"/>
  <c r="H27" i="1"/>
  <c r="H26" i="1"/>
  <c r="E26" i="1"/>
  <c r="H25" i="1"/>
  <c r="E25" i="1"/>
  <c r="H24" i="1"/>
  <c r="E24" i="1"/>
  <c r="H23" i="1"/>
  <c r="E23" i="1"/>
  <c r="G22" i="1"/>
  <c r="D22" i="1"/>
  <c r="L21" i="1"/>
  <c r="H21" i="1"/>
  <c r="E21" i="1"/>
  <c r="H20" i="1"/>
  <c r="E20" i="1"/>
  <c r="G19" i="1"/>
  <c r="H19" i="1" s="1"/>
  <c r="E19" i="1"/>
  <c r="H18" i="1"/>
  <c r="E18" i="1"/>
  <c r="H17" i="1"/>
  <c r="E17" i="1"/>
  <c r="H16" i="1"/>
  <c r="E16" i="1"/>
  <c r="H15" i="1"/>
  <c r="E15" i="1"/>
  <c r="H14" i="1"/>
  <c r="E14" i="1"/>
  <c r="H13" i="1"/>
  <c r="E13" i="1"/>
  <c r="L12" i="1"/>
  <c r="H12" i="1"/>
  <c r="E12" i="1"/>
  <c r="L11" i="1"/>
  <c r="H11" i="1"/>
  <c r="E11" i="1"/>
  <c r="E46" i="1" l="1"/>
  <c r="E48" i="1" s="1"/>
  <c r="E50" i="1" s="1"/>
  <c r="K45" i="1"/>
  <c r="M45" i="1" s="1"/>
  <c r="K42" i="1"/>
  <c r="M42" i="1" s="1"/>
  <c r="K41" i="1"/>
  <c r="M41" i="1" s="1"/>
  <c r="K44" i="1"/>
  <c r="M44" i="1" s="1"/>
  <c r="K40" i="1"/>
  <c r="M40" i="1" s="1"/>
  <c r="K21" i="1"/>
  <c r="M21" i="1"/>
  <c r="K12" i="1"/>
  <c r="M12" i="1" s="1"/>
  <c r="H48" i="1"/>
  <c r="K11" i="1"/>
  <c r="E53" i="1" l="1"/>
  <c r="K46" i="1"/>
  <c r="K48" i="1" s="1"/>
  <c r="M11" i="1"/>
  <c r="M46" i="1" s="1"/>
  <c r="M48" i="1" s="1"/>
</calcChain>
</file>

<file path=xl/sharedStrings.xml><?xml version="1.0" encoding="utf-8"?>
<sst xmlns="http://schemas.openxmlformats.org/spreadsheetml/2006/main" count="158" uniqueCount="96">
  <si>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</si>
  <si>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</si>
  <si>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</si>
  <si>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</si>
  <si>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</si>
  <si>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</si>
  <si>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</si>
  <si>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</si>
  <si>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</si>
  <si>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</si>
  <si>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</si>
  <si>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</si>
  <si>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</si>
  <si>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</si>
  <si>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</si>
  <si>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</si>
  <si>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</si>
  <si>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ACV</t>
  </si>
  <si>
    <t>TOTAL DEPRECIATION</t>
  </si>
  <si>
    <t>ALFANO ELECTRIC LLC (413-636-3676) CODE UPDATES TOTALING $31,853.30</t>
  </si>
  <si>
    <t>FIRE ALARM SYSTEM</t>
  </si>
  <si>
    <t>3 BEACONS</t>
  </si>
  <si>
    <t>THREE (3) RED LIGHT BEACONS</t>
  </si>
  <si>
    <t>5 STROBES</t>
  </si>
  <si>
    <t>4 DOOR PULLS</t>
  </si>
  <si>
    <t>FOUR (4) PULL STATIONS.</t>
  </si>
  <si>
    <t>7 SMOKE DETECTORS</t>
  </si>
  <si>
    <t>SEVEN (7) SMOKE DETECTORS.</t>
  </si>
  <si>
    <t>3 HEAT DETECTORS</t>
  </si>
  <si>
    <t xml:space="preserve">THREE (3) HEAT DETECTORS. </t>
  </si>
  <si>
    <t>2 MODULES FOR ANSUL</t>
  </si>
  <si>
    <t>1 REMOTE ANNUNCIATOR</t>
  </si>
  <si>
    <t>REMOTE ANNUNCIATOR UNIT</t>
  </si>
  <si>
    <t>1 ALARM PANEL</t>
  </si>
  <si>
    <t xml:space="preserve">ONE (1) FIRE ALARM PANEL WITH A SLIGHT MARK UP ON MATERIALS. </t>
  </si>
  <si>
    <t>STARLINK CELLULAR COMMUNICATOR</t>
  </si>
  <si>
    <t xml:space="preserve">STARLINK FIRE COMMUNICATOR UNIT. </t>
  </si>
  <si>
    <t>LABOR TO INSTALL FIRE ALARM SYSTEM</t>
  </si>
  <si>
    <t>KEY BOX FOR FIRE DEPARTMENT (LABOR)</t>
  </si>
  <si>
    <t>LABOR TO INSTALL THE FIRE DEPARTMENT KEY BOX.</t>
  </si>
  <si>
    <t>KEY BOX FOR FIRE DEPARTMENT (MATERIALS)</t>
  </si>
  <si>
    <t>MATERIALS: FIRE DEPARTMENT KEY BOX</t>
  </si>
  <si>
    <t>120V CO DETECTORS (MATERIALS)</t>
  </si>
  <si>
    <t>MATERIALS: THREE (3) 120V CARBON MONOXIDE DETECTORS</t>
  </si>
  <si>
    <t>120V CO DETECTORS (LABOR)</t>
  </si>
  <si>
    <t>LABOR HOURS TO INSTALL THE THREE CARBON MONOXIDE DECODERS.</t>
  </si>
  <si>
    <t>EXIT SIGN / EMERGENCY LIGHT COMBO REMOTE HEAD CAPABLE (MATERIALS)</t>
  </si>
  <si>
    <t>EXIT SIGN / EMERGENCY LIGHT COMBO REMOTE HEAD CAPABLE (LABOR)</t>
  </si>
  <si>
    <t>LABOR TO INSTALL THE THREE EXIT SIGNS.</t>
  </si>
  <si>
    <t>EXIT SIGN / EMERGENCY LIGHT COMBO (MATERIALS)</t>
  </si>
  <si>
    <t xml:space="preserve">ONE (1) EXIT SIGN / EMERGENCY LIGHT COMBO. </t>
  </si>
  <si>
    <t>EXIT SIGN / EMERGENCY LIGHT COMBO (LABOR)</t>
  </si>
  <si>
    <t>LABOR TO INSTALL THE ONE (1) EXIT LIGHT COMBO</t>
  </si>
  <si>
    <t>EMERGENCY LIGHTS (MATERIALS)</t>
  </si>
  <si>
    <t xml:space="preserve">SEVEN (7) EMERGENCY EXIT LIGHTS. </t>
  </si>
  <si>
    <t>EMERGENCY LIGHTS (LABOR)</t>
  </si>
  <si>
    <t xml:space="preserve">LABOR TO INSTALL THE EMERGENCY LIGHTS. </t>
  </si>
  <si>
    <t>1 POLE 20A QO GFCI BREAKERS (MATERIALS)</t>
  </si>
  <si>
    <t>TWENTY (20) AMP SINGLE POLE GFCI BREAKERS</t>
  </si>
  <si>
    <t>2 POLE 20A QO GFCI BREAKERS (MATERIALS)</t>
  </si>
  <si>
    <t>TWENTY (20) AMP DOUBLE POLE GFCI BREAKERS</t>
  </si>
  <si>
    <t>REMOTE HEAD FOR EMERGENCY EGRESS LIGHTING (MATERIALS)</t>
  </si>
  <si>
    <t xml:space="preserve">REMOTE HEAD EMERGENCY EGRESS LIGHTING. MATERIALS. </t>
  </si>
  <si>
    <t>REMOTE HEAD FOR EMERGENCY EGRESS LIGHTING (LABOR)</t>
  </si>
  <si>
    <t xml:space="preserve">LABOR TO INSTALL THREE EGRESS LIGHTS. </t>
  </si>
  <si>
    <t>PIPE AND WIRE (LABOR)</t>
  </si>
  <si>
    <t>20A GFCI DEADFRONT (MATERIALS)</t>
  </si>
  <si>
    <t xml:space="preserve">TWENTY (20) AMP GFCI DEADFRONT MATERIALS. </t>
  </si>
  <si>
    <t>3 POLE CONTACTOR FOR RECEPTACLES UNDER HOOD AND GAS RESET</t>
  </si>
  <si>
    <t>THREE (3) POLE CONTACTOR FOR HOOD AND GAS RESET.</t>
  </si>
  <si>
    <t>SERVICE RECEPTACLE ON THE ROOF</t>
  </si>
  <si>
    <t>SIGN DISCONNECT ON THE ROOF (MATERIALS)</t>
  </si>
  <si>
    <t>ELECTRICAL DISCONNECT FOR ROOF SIGN.</t>
  </si>
  <si>
    <t>SIGN DISCONNECT ON THE ROOF (LABOR)</t>
  </si>
  <si>
    <t xml:space="preserve">LABOR TO INSTALL DISCONNECT ON THE ROOF FOR SIGN. </t>
  </si>
  <si>
    <t>SERVICE DISCONNECT FOR THE EXHAUST HOOD (MATERIALS)</t>
  </si>
  <si>
    <t>SERVICE DISCONNECT FOR THE EXHAUST HOOD. MATERIALS</t>
  </si>
  <si>
    <t>SERVICE DISCONNECT FOR THE EXHAUST HOOD (LABOR)</t>
  </si>
  <si>
    <t xml:space="preserve">LABOR TO INSTALL THE SERVICE DISCONNECT ON THE HOOD EXHAUST. </t>
  </si>
  <si>
    <t xml:space="preserve">ELECTRICAL / FIRE MATERIALS. </t>
  </si>
  <si>
    <t>BOXES, WIRE, CONNECTORS, PIPE, COVERS FOR ABOVE ITEMS EXCEPT FOR FIRE ALARM</t>
  </si>
  <si>
    <t>LSG MATTER #: 787200.11663-01</t>
  </si>
  <si>
    <t>CLAIM #: FVA8774</t>
  </si>
  <si>
    <t>DATE OF LOSS: 8/13/2024</t>
  </si>
  <si>
    <t>CAUSE OF LOSS: FIRE</t>
  </si>
  <si>
    <t>INSURED: AL &amp; VAL, INC., DBA CHARLIE’S DINER (#2)</t>
  </si>
  <si>
    <t>N/A</t>
  </si>
  <si>
    <t>THREE (3) EXIT SIGH / EMERGENCY LIGHT COMBO. (NOTE: THE COST GIVEN IN THE INVOICE HAS A CALCULATION ERROR THAT STATES THAT THIS COST (PLUS ITS LABOR) SHOULD EQUAL $888.00. THIS IS A MISTAKE AND SHOULD HAVE ADDED UP TO $1,028.00. (A $140.00 DIFFERENCE) THIS WAS CONFIRMED BY THE VENDOR.</t>
  </si>
  <si>
    <t>FIRE ALARM SYSTEM- 3 BEACONS, 5 STROBES, 4 DOOR PULLS, 7 SMOKE DETECTORS, 3 HEAT DETECTORS, 2 MODULES FOR ANSUL, 1 REMOTE ANNUNCIATOR, 1 ALARM PANEL, STARLINK CELLULAR COMMUNICATOR. (THIS COST WAS GIVEN TO US IN A LUMP SUM COST, WITH SOME HELP FROM THE VENDOR, AND PERFORMING INDEPENDENT RESEARCH WE WERE ABLE TO FILL IN THE BLANKS BELOW.)</t>
  </si>
  <si>
    <t>FIVE (5) WALL STROBE LIGHTS.</t>
  </si>
  <si>
    <t xml:space="preserve">MODULES TO ACCURATE / SENCE THE ANSUL SYSTEM. </t>
  </si>
  <si>
    <t xml:space="preserve">ROUGHLY FORTY (40) LABOR HOURS TO INSTALL THE FIRE ALARM SYSTEM COMPONENTS LISTED ABOVE. </t>
  </si>
  <si>
    <t>DEDICATED GFCI RECEPTACLES</t>
  </si>
  <si>
    <t>TWENTY TWO (22) GFCI RECEPTACLES</t>
  </si>
  <si>
    <t>PIPE AND WIRE TWO (2) GAS SHUT OFFS, ONE (1) GAS RESET, AND THREE (3) RECEPTACLES UNDER THE HOODS TO THE ANSUL SYSTEM WITH CONTACTORS</t>
  </si>
  <si>
    <t>SERVICE RECEPTACLE ON ROOF. (ROUGHLY 100 FEET OF CONDUIT AND WIRE FROM FRONT OF BUILDING UP TO THE ROOF FOR A ROOF 120 VOLT GFCI WITH WATERPROOF COVER)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</si>
</sst>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u/>
      <sz val="12"/>
      <name val="Arial"/>
      <family val="2"/>
    </font>
    <font>
      <i/>
      <u val="singleAccounting"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8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6" borderId="16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left" wrapText="1"/>
    </xf>
    <xf numFmtId="0" fontId="7" fillId="6" borderId="17" xfId="0" applyFont="1" applyFill="1" applyBorder="1" applyAlignment="1">
      <alignment horizontal="center"/>
    </xf>
    <xf numFmtId="44" fontId="7" fillId="6" borderId="17" xfId="1" applyFont="1" applyFill="1" applyBorder="1" applyAlignment="1">
      <alignment horizontal="center"/>
    </xf>
    <xf numFmtId="0" fontId="7" fillId="6" borderId="17" xfId="1" applyNumberFormat="1" applyFont="1" applyFill="1" applyBorder="1" applyAlignment="1">
      <alignment horizontal="center"/>
    </xf>
    <xf numFmtId="9" fontId="7" fillId="6" borderId="17" xfId="6" applyFont="1" applyFill="1" applyBorder="1" applyAlignment="1">
      <alignment horizontal="center"/>
    </xf>
    <xf numFmtId="0" fontId="7" fillId="6" borderId="17" xfId="1" applyNumberFormat="1" applyFont="1" applyFill="1" applyBorder="1" applyAlignment="1">
      <alignment horizontal="center" wrapText="1"/>
    </xf>
    <xf numFmtId="0" fontId="7" fillId="6" borderId="18" xfId="0" applyFont="1" applyFill="1" applyBorder="1" applyAlignment="1">
      <alignment horizontal="left" wrapText="1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44" fontId="7" fillId="2" borderId="20" xfId="1" applyFont="1" applyFill="1" applyBorder="1" applyAlignment="1">
      <alignment horizontal="center"/>
    </xf>
    <xf numFmtId="0" fontId="7" fillId="2" borderId="20" xfId="1" applyNumberFormat="1" applyFont="1" applyFill="1" applyBorder="1" applyAlignment="1">
      <alignment horizontal="center"/>
    </xf>
    <xf numFmtId="9" fontId="7" fillId="2" borderId="20" xfId="6" applyFont="1" applyFill="1" applyBorder="1" applyAlignment="1">
      <alignment horizontal="center"/>
    </xf>
    <xf numFmtId="0" fontId="7" fillId="2" borderId="20" xfId="1" applyNumberFormat="1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left" wrapText="1"/>
    </xf>
    <xf numFmtId="44" fontId="7" fillId="0" borderId="0" xfId="0" applyNumberFormat="1" applyFont="1"/>
    <xf numFmtId="44" fontId="7" fillId="0" borderId="20" xfId="1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left" wrapText="1"/>
    </xf>
    <xf numFmtId="0" fontId="7" fillId="4" borderId="20" xfId="0" applyFont="1" applyFill="1" applyBorder="1" applyAlignment="1">
      <alignment horizontal="center"/>
    </xf>
    <xf numFmtId="44" fontId="7" fillId="4" borderId="20" xfId="1" applyFont="1" applyFill="1" applyBorder="1" applyAlignment="1">
      <alignment horizontal="center"/>
    </xf>
    <xf numFmtId="0" fontId="7" fillId="4" borderId="20" xfId="1" applyNumberFormat="1" applyFont="1" applyFill="1" applyBorder="1" applyAlignment="1">
      <alignment horizontal="center"/>
    </xf>
    <xf numFmtId="9" fontId="7" fillId="4" borderId="20" xfId="6" applyFont="1" applyFill="1" applyBorder="1" applyAlignment="1">
      <alignment horizontal="center"/>
    </xf>
    <xf numFmtId="0" fontId="7" fillId="4" borderId="20" xfId="1" applyNumberFormat="1" applyFont="1" applyFill="1" applyBorder="1" applyAlignment="1">
      <alignment horizontal="center" wrapText="1"/>
    </xf>
    <xf numFmtId="0" fontId="7" fillId="4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2" borderId="24" xfId="0" applyFont="1" applyFill="1" applyBorder="1" applyAlignment="1">
      <alignment horizontal="left" wrapText="1"/>
    </xf>
    <xf numFmtId="44" fontId="6" fillId="4" borderId="13" xfId="1" applyFont="1" applyFill="1" applyBorder="1" applyAlignment="1">
      <alignment horizontal="center" vertical="center"/>
    </xf>
    <xf numFmtId="44" fontId="7" fillId="4" borderId="15" xfId="1" applyFont="1" applyFill="1" applyBorder="1" applyAlignment="1"/>
    <xf numFmtId="44" fontId="6" fillId="4" borderId="15" xfId="1" applyFont="1" applyFill="1" applyBorder="1" applyAlignment="1"/>
    <xf numFmtId="44" fontId="6" fillId="4" borderId="13" xfId="1" applyFont="1" applyFill="1" applyBorder="1" applyAlignment="1"/>
    <xf numFmtId="44" fontId="6" fillId="4" borderId="12" xfId="0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44" fontId="6" fillId="4" borderId="13" xfId="0" applyNumberFormat="1" applyFont="1" applyFill="1" applyBorder="1" applyAlignment="1">
      <alignment horizontal="center" vertical="center"/>
    </xf>
    <xf numFmtId="0" fontId="9" fillId="0" borderId="0" xfId="0" applyFont="1"/>
    <xf numFmtId="44" fontId="10" fillId="4" borderId="20" xfId="1" applyFont="1" applyFill="1" applyBorder="1" applyAlignment="1">
      <alignment horizontal="center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4"/>
  <sheetViews>
    <sheetView tabSelected="1" zoomScale="80" zoomScaleNormal="80" zoomScalePageLayoutView="90" workbookViewId="0">
      <selection activeCell="O40" sqref="O40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hidden="1" customWidth="1"/>
    <col min="14" max="14" width="13.6640625" style="5" customWidth="1"/>
    <col min="15" max="15" width="47.6640625" style="9" customWidth="1"/>
    <col min="16" max="16" width="8.83203125" style="3"/>
    <col min="17" max="18" width="12.6640625" style="3" bestFit="1" customWidth="1"/>
    <col min="19" max="16384" width="8.83203125" style="3"/>
  </cols>
  <sheetData>
    <row r="1" spans="1:16" ht="15.75" customHeight="1" x14ac:dyDescent="0.2">
      <c r="A1" s="59" t="s">
        <v>85</v>
      </c>
      <c r="B1" s="60"/>
      <c r="C1" s="60"/>
      <c r="D1" s="60"/>
      <c r="E1" s="61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6" ht="15.75" customHeight="1" x14ac:dyDescent="0.2">
      <c r="A2" s="62" t="s">
        <v>81</v>
      </c>
      <c r="B2" s="63"/>
      <c r="C2" s="63"/>
      <c r="D2" s="63"/>
      <c r="E2" s="64"/>
      <c r="F2" s="1"/>
      <c r="G2"/>
      <c r="H2"/>
      <c r="I2"/>
      <c r="J2" s="1"/>
      <c r="K2" s="1"/>
      <c r="M2" s="1"/>
      <c r="N2" s="1"/>
      <c r="O2" s="2"/>
      <c r="P2" s="2"/>
    </row>
    <row r="3" spans="1:16" ht="15.75" customHeight="1" thickBot="1" x14ac:dyDescent="0.25">
      <c r="A3" s="62" t="s">
        <v>82</v>
      </c>
      <c r="B3" s="63"/>
      <c r="C3" s="63"/>
      <c r="D3" s="63"/>
      <c r="E3" s="64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6" ht="15.75" customHeight="1" x14ac:dyDescent="0.2">
      <c r="A4" s="62" t="s">
        <v>83</v>
      </c>
      <c r="B4" s="63"/>
      <c r="C4" s="63"/>
      <c r="D4" s="63"/>
      <c r="E4" s="64"/>
      <c r="F4" s="7"/>
      <c r="G4" s="37" t="s">
        <v>0</v>
      </c>
      <c r="H4" s="38"/>
      <c r="I4" s="4"/>
      <c r="J4" s="8"/>
      <c r="K4" s="8"/>
      <c r="L4" s="1"/>
      <c r="O4" s="3"/>
    </row>
    <row r="5" spans="1:16" ht="15.75" customHeight="1" thickBot="1" x14ac:dyDescent="0.25">
      <c r="A5" s="65" t="s">
        <v>84</v>
      </c>
      <c r="B5" s="66"/>
      <c r="C5" s="66"/>
      <c r="D5" s="66"/>
      <c r="E5" s="67"/>
      <c r="F5" s="1"/>
      <c r="G5" s="39"/>
      <c r="H5" s="40"/>
      <c r="I5" s="4"/>
      <c r="J5" s="1"/>
      <c r="K5" s="1"/>
      <c r="L5" s="1"/>
      <c r="O5" s="3"/>
    </row>
    <row r="7" spans="1:16" ht="12.75" customHeight="1" thickBo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23"/>
    </row>
    <row r="8" spans="1:16" s="10" customFormat="1" ht="25.5" customHeight="1" thickBot="1" x14ac:dyDescent="0.2">
      <c r="A8" s="46" t="s">
        <v>19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8"/>
    </row>
    <row r="9" spans="1:16" ht="24" customHeight="1" thickBot="1" x14ac:dyDescent="0.25">
      <c r="A9" s="44" t="s">
        <v>1</v>
      </c>
      <c r="B9" s="49" t="s">
        <v>2</v>
      </c>
      <c r="C9" s="41" t="s">
        <v>3</v>
      </c>
      <c r="D9" s="42"/>
      <c r="E9" s="43"/>
      <c r="F9" s="41" t="s">
        <v>4</v>
      </c>
      <c r="G9" s="42"/>
      <c r="H9" s="43"/>
      <c r="I9" s="51" t="s">
        <v>5</v>
      </c>
      <c r="J9" s="51" t="s">
        <v>6</v>
      </c>
      <c r="K9" s="51" t="s">
        <v>7</v>
      </c>
      <c r="L9" s="51" t="s">
        <v>8</v>
      </c>
      <c r="M9" s="51" t="s">
        <v>9</v>
      </c>
      <c r="N9" s="51" t="s">
        <v>10</v>
      </c>
      <c r="O9" s="44" t="s">
        <v>11</v>
      </c>
    </row>
    <row r="10" spans="1:16" ht="24" customHeight="1" thickBot="1" x14ac:dyDescent="0.25">
      <c r="A10" s="45"/>
      <c r="B10" s="50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52"/>
      <c r="J10" s="52"/>
      <c r="K10" s="52"/>
      <c r="L10" s="52"/>
      <c r="M10" s="52"/>
      <c r="N10" s="52"/>
      <c r="O10" s="45"/>
    </row>
    <row r="11" spans="1:16" ht="185" customHeight="1" x14ac:dyDescent="0.2">
      <c r="A11" s="68">
        <v>1</v>
      </c>
      <c r="B11" s="69" t="s">
        <v>20</v>
      </c>
      <c r="C11" s="70">
        <v>1</v>
      </c>
      <c r="D11" s="71">
        <v>21500</v>
      </c>
      <c r="E11" s="71">
        <f t="shared" ref="E11:E45" si="0">C11*D11</f>
        <v>21500</v>
      </c>
      <c r="F11" s="72">
        <v>0</v>
      </c>
      <c r="G11" s="71">
        <v>0</v>
      </c>
      <c r="H11" s="71">
        <f>F11*G11</f>
        <v>0</v>
      </c>
      <c r="I11" s="72" t="s">
        <v>86</v>
      </c>
      <c r="J11" s="72" t="s">
        <v>86</v>
      </c>
      <c r="K11" s="71" t="e">
        <f>H11*(1-L11)</f>
        <v>#VALUE!</v>
      </c>
      <c r="L11" s="73" t="e">
        <f>IF((I11/J11)&gt;=0.75,0.75,IF((I11/J11)&gt;=0,(I11/J11),IF((I11/J11)&lt;=0.1,0)))</f>
        <v>#VALUE!</v>
      </c>
      <c r="M11" s="71" t="e">
        <f>H11-K11</f>
        <v>#VALUE!</v>
      </c>
      <c r="N11" s="74" t="s">
        <v>86</v>
      </c>
      <c r="O11" s="75" t="s">
        <v>88</v>
      </c>
    </row>
    <row r="12" spans="1:16" ht="65" customHeight="1" x14ac:dyDescent="0.2">
      <c r="A12" s="76">
        <v>2</v>
      </c>
      <c r="B12" s="77" t="s">
        <v>21</v>
      </c>
      <c r="C12" s="78">
        <v>0</v>
      </c>
      <c r="D12" s="79">
        <v>0</v>
      </c>
      <c r="E12" s="79">
        <f t="shared" si="0"/>
        <v>0</v>
      </c>
      <c r="F12" s="80">
        <v>3</v>
      </c>
      <c r="G12" s="79">
        <v>389.95</v>
      </c>
      <c r="H12" s="79">
        <f t="shared" ref="H12:H45" si="1">F12*G12</f>
        <v>1169.8499999999999</v>
      </c>
      <c r="I12" s="80">
        <v>0</v>
      </c>
      <c r="J12" s="80">
        <v>20</v>
      </c>
      <c r="K12" s="79">
        <f t="shared" ref="K12:K45" si="2">H12*(1-L12)</f>
        <v>1169.8499999999999</v>
      </c>
      <c r="L12" s="81">
        <f t="shared" ref="L12:L45" si="3">IF((I12/J12)&gt;=0.75,0.75,IF((I12/J12)&gt;=0,(I12/J12),IF((I12/J12)&lt;=0.1,0)))</f>
        <v>0</v>
      </c>
      <c r="M12" s="79">
        <f t="shared" ref="M12:M45" si="4">H12-K12</f>
        <v>0</v>
      </c>
      <c r="N12" s="82" t="s">
        <v>86</v>
      </c>
      <c r="O12" s="83" t="s">
        <v>22</v>
      </c>
    </row>
    <row r="13" spans="1:16" ht="65" customHeight="1" x14ac:dyDescent="0.2">
      <c r="A13" s="76">
        <v>3</v>
      </c>
      <c r="B13" s="77" t="s">
        <v>23</v>
      </c>
      <c r="C13" s="78">
        <v>0</v>
      </c>
      <c r="D13" s="79">
        <v>0</v>
      </c>
      <c r="E13" s="79">
        <f t="shared" si="0"/>
        <v>0</v>
      </c>
      <c r="F13" s="80">
        <v>5</v>
      </c>
      <c r="G13" s="79">
        <v>144.66999999999999</v>
      </c>
      <c r="H13" s="79">
        <f t="shared" si="1"/>
        <v>723.34999999999991</v>
      </c>
      <c r="I13" s="80">
        <v>0</v>
      </c>
      <c r="J13" s="80">
        <v>20</v>
      </c>
      <c r="K13" s="79">
        <f t="shared" ref="K13:K20" si="5">H13*(1-L13)</f>
        <v>723.34999999999991</v>
      </c>
      <c r="L13" s="81">
        <f t="shared" ref="L13:L20" si="6">IF((I13/J13)&gt;=0.75,0.75,IF((I13/J13)&gt;=0,(I13/J13),IF((I13/J13)&lt;=0.1,0)))</f>
        <v>0</v>
      </c>
      <c r="M13" s="79">
        <f t="shared" ref="M13:M20" si="7">H13-K13</f>
        <v>0</v>
      </c>
      <c r="N13" s="82" t="s">
        <v>86</v>
      </c>
      <c r="O13" s="83" t="s">
        <v>89</v>
      </c>
    </row>
    <row r="14" spans="1:16" ht="65" customHeight="1" x14ac:dyDescent="0.2">
      <c r="A14" s="76">
        <v>4</v>
      </c>
      <c r="B14" s="77" t="s">
        <v>24</v>
      </c>
      <c r="C14" s="78">
        <v>0</v>
      </c>
      <c r="D14" s="79">
        <v>0</v>
      </c>
      <c r="E14" s="79">
        <f t="shared" si="0"/>
        <v>0</v>
      </c>
      <c r="F14" s="80">
        <v>4</v>
      </c>
      <c r="G14" s="79">
        <v>130</v>
      </c>
      <c r="H14" s="79">
        <f t="shared" si="1"/>
        <v>520</v>
      </c>
      <c r="I14" s="80">
        <v>0</v>
      </c>
      <c r="J14" s="80">
        <v>20</v>
      </c>
      <c r="K14" s="79">
        <f t="shared" si="5"/>
        <v>520</v>
      </c>
      <c r="L14" s="81">
        <f t="shared" si="6"/>
        <v>0</v>
      </c>
      <c r="M14" s="79">
        <f t="shared" si="7"/>
        <v>0</v>
      </c>
      <c r="N14" s="82" t="s">
        <v>86</v>
      </c>
      <c r="O14" s="83" t="s">
        <v>25</v>
      </c>
    </row>
    <row r="15" spans="1:16" ht="65" customHeight="1" x14ac:dyDescent="0.2">
      <c r="A15" s="76">
        <v>5</v>
      </c>
      <c r="B15" s="77" t="s">
        <v>26</v>
      </c>
      <c r="C15" s="78">
        <v>0</v>
      </c>
      <c r="D15" s="79">
        <v>0</v>
      </c>
      <c r="E15" s="79">
        <f t="shared" si="0"/>
        <v>0</v>
      </c>
      <c r="F15" s="80">
        <v>7</v>
      </c>
      <c r="G15" s="79">
        <v>175.25</v>
      </c>
      <c r="H15" s="79">
        <f t="shared" si="1"/>
        <v>1226.75</v>
      </c>
      <c r="I15" s="80">
        <v>0</v>
      </c>
      <c r="J15" s="80">
        <v>20</v>
      </c>
      <c r="K15" s="79">
        <f t="shared" si="5"/>
        <v>1226.75</v>
      </c>
      <c r="L15" s="81">
        <f t="shared" si="6"/>
        <v>0</v>
      </c>
      <c r="M15" s="79">
        <f t="shared" si="7"/>
        <v>0</v>
      </c>
      <c r="N15" s="82" t="s">
        <v>86</v>
      </c>
      <c r="O15" s="83" t="s">
        <v>27</v>
      </c>
    </row>
    <row r="16" spans="1:16" ht="65" customHeight="1" x14ac:dyDescent="0.2">
      <c r="A16" s="76">
        <v>6</v>
      </c>
      <c r="B16" s="77" t="s">
        <v>28</v>
      </c>
      <c r="C16" s="78">
        <v>0</v>
      </c>
      <c r="D16" s="79">
        <v>0</v>
      </c>
      <c r="E16" s="79">
        <f t="shared" si="0"/>
        <v>0</v>
      </c>
      <c r="F16" s="80">
        <v>3</v>
      </c>
      <c r="G16" s="79">
        <v>150</v>
      </c>
      <c r="H16" s="79">
        <f t="shared" si="1"/>
        <v>450</v>
      </c>
      <c r="I16" s="80">
        <v>0</v>
      </c>
      <c r="J16" s="80">
        <v>20</v>
      </c>
      <c r="K16" s="79">
        <f t="shared" si="5"/>
        <v>450</v>
      </c>
      <c r="L16" s="81">
        <f t="shared" si="6"/>
        <v>0</v>
      </c>
      <c r="M16" s="79">
        <f t="shared" si="7"/>
        <v>0</v>
      </c>
      <c r="N16" s="82" t="s">
        <v>86</v>
      </c>
      <c r="O16" s="83" t="s">
        <v>29</v>
      </c>
    </row>
    <row r="17" spans="1:19" ht="65" customHeight="1" x14ac:dyDescent="0.2">
      <c r="A17" s="76">
        <v>7</v>
      </c>
      <c r="B17" s="77" t="s">
        <v>30</v>
      </c>
      <c r="C17" s="78">
        <v>0</v>
      </c>
      <c r="D17" s="79">
        <v>0</v>
      </c>
      <c r="E17" s="79">
        <f t="shared" si="0"/>
        <v>0</v>
      </c>
      <c r="F17" s="80">
        <v>2</v>
      </c>
      <c r="G17" s="79">
        <v>3895.45</v>
      </c>
      <c r="H17" s="79">
        <f t="shared" si="1"/>
        <v>7790.9</v>
      </c>
      <c r="I17" s="80">
        <v>0</v>
      </c>
      <c r="J17" s="80">
        <v>20</v>
      </c>
      <c r="K17" s="79">
        <f t="shared" si="5"/>
        <v>7790.9</v>
      </c>
      <c r="L17" s="81">
        <f t="shared" si="6"/>
        <v>0</v>
      </c>
      <c r="M17" s="79">
        <f t="shared" si="7"/>
        <v>0</v>
      </c>
      <c r="N17" s="82" t="s">
        <v>86</v>
      </c>
      <c r="O17" s="83" t="s">
        <v>90</v>
      </c>
    </row>
    <row r="18" spans="1:19" ht="65" customHeight="1" x14ac:dyDescent="0.2">
      <c r="A18" s="76">
        <v>8</v>
      </c>
      <c r="B18" s="77" t="s">
        <v>31</v>
      </c>
      <c r="C18" s="78">
        <v>0</v>
      </c>
      <c r="D18" s="79">
        <v>0</v>
      </c>
      <c r="E18" s="79">
        <f t="shared" si="0"/>
        <v>0</v>
      </c>
      <c r="F18" s="80">
        <v>1</v>
      </c>
      <c r="G18" s="79">
        <v>1630</v>
      </c>
      <c r="H18" s="79">
        <f t="shared" si="1"/>
        <v>1630</v>
      </c>
      <c r="I18" s="80">
        <v>0</v>
      </c>
      <c r="J18" s="80">
        <v>20</v>
      </c>
      <c r="K18" s="79">
        <f t="shared" si="5"/>
        <v>1630</v>
      </c>
      <c r="L18" s="81">
        <f t="shared" si="6"/>
        <v>0</v>
      </c>
      <c r="M18" s="79">
        <f t="shared" si="7"/>
        <v>0</v>
      </c>
      <c r="N18" s="82" t="s">
        <v>86</v>
      </c>
      <c r="O18" s="83" t="s">
        <v>32</v>
      </c>
    </row>
    <row r="19" spans="1:19" ht="65" customHeight="1" x14ac:dyDescent="0.2">
      <c r="A19" s="76">
        <v>9</v>
      </c>
      <c r="B19" s="77" t="s">
        <v>33</v>
      </c>
      <c r="C19" s="78">
        <v>0</v>
      </c>
      <c r="D19" s="79">
        <v>0</v>
      </c>
      <c r="E19" s="79">
        <f t="shared" si="0"/>
        <v>0</v>
      </c>
      <c r="F19" s="80">
        <v>1</v>
      </c>
      <c r="G19" s="79">
        <f>1665.18+33.66</f>
        <v>1698.8400000000001</v>
      </c>
      <c r="H19" s="79">
        <f t="shared" si="1"/>
        <v>1698.8400000000001</v>
      </c>
      <c r="I19" s="80">
        <v>0</v>
      </c>
      <c r="J19" s="80">
        <v>20</v>
      </c>
      <c r="K19" s="79">
        <f t="shared" si="5"/>
        <v>1698.8400000000001</v>
      </c>
      <c r="L19" s="81">
        <f t="shared" si="6"/>
        <v>0</v>
      </c>
      <c r="M19" s="79">
        <f t="shared" si="7"/>
        <v>0</v>
      </c>
      <c r="N19" s="82" t="s">
        <v>86</v>
      </c>
      <c r="O19" s="83" t="s">
        <v>34</v>
      </c>
    </row>
    <row r="20" spans="1:19" ht="65" customHeight="1" x14ac:dyDescent="0.2">
      <c r="A20" s="76">
        <v>10</v>
      </c>
      <c r="B20" s="77" t="s">
        <v>35</v>
      </c>
      <c r="C20" s="78">
        <v>0</v>
      </c>
      <c r="D20" s="79">
        <v>0</v>
      </c>
      <c r="E20" s="79">
        <f t="shared" si="0"/>
        <v>0</v>
      </c>
      <c r="F20" s="80">
        <v>1</v>
      </c>
      <c r="G20" s="79">
        <v>410.31</v>
      </c>
      <c r="H20" s="79">
        <f t="shared" si="1"/>
        <v>410.31</v>
      </c>
      <c r="I20" s="80">
        <v>0</v>
      </c>
      <c r="J20" s="80">
        <v>20</v>
      </c>
      <c r="K20" s="79">
        <f t="shared" si="5"/>
        <v>410.31</v>
      </c>
      <c r="L20" s="81">
        <f t="shared" si="6"/>
        <v>0</v>
      </c>
      <c r="M20" s="79">
        <f t="shared" si="7"/>
        <v>0</v>
      </c>
      <c r="N20" s="82" t="s">
        <v>86</v>
      </c>
      <c r="O20" s="83" t="s">
        <v>36</v>
      </c>
    </row>
    <row r="21" spans="1:19" ht="65" customHeight="1" x14ac:dyDescent="0.2">
      <c r="A21" s="76">
        <v>11</v>
      </c>
      <c r="B21" s="77" t="s">
        <v>37</v>
      </c>
      <c r="C21" s="78">
        <v>0</v>
      </c>
      <c r="D21" s="79">
        <v>0</v>
      </c>
      <c r="E21" s="79">
        <f t="shared" si="0"/>
        <v>0</v>
      </c>
      <c r="F21" s="80">
        <v>42</v>
      </c>
      <c r="G21" s="79">
        <v>140</v>
      </c>
      <c r="H21" s="79">
        <f t="shared" si="1"/>
        <v>5880</v>
      </c>
      <c r="I21" s="80" t="s">
        <v>86</v>
      </c>
      <c r="J21" s="80" t="s">
        <v>86</v>
      </c>
      <c r="K21" s="79" t="e">
        <f t="shared" si="2"/>
        <v>#VALUE!</v>
      </c>
      <c r="L21" s="81" t="e">
        <f t="shared" si="3"/>
        <v>#VALUE!</v>
      </c>
      <c r="M21" s="79" t="e">
        <f t="shared" si="4"/>
        <v>#VALUE!</v>
      </c>
      <c r="N21" s="82" t="s">
        <v>86</v>
      </c>
      <c r="O21" s="83" t="s">
        <v>91</v>
      </c>
      <c r="Q21" s="84"/>
    </row>
    <row r="22" spans="1:19" ht="72" customHeight="1" x14ac:dyDescent="0.2">
      <c r="A22" s="76">
        <v>12</v>
      </c>
      <c r="B22" s="77" t="s">
        <v>38</v>
      </c>
      <c r="C22" s="78">
        <v>0.75</v>
      </c>
      <c r="D22" s="85">
        <f>E22/C22</f>
        <v>140</v>
      </c>
      <c r="E22" s="79">
        <v>105</v>
      </c>
      <c r="F22" s="78">
        <v>0.75</v>
      </c>
      <c r="G22" s="85">
        <f>H22/F22</f>
        <v>140</v>
      </c>
      <c r="H22" s="79">
        <v>105</v>
      </c>
      <c r="I22" s="80" t="s">
        <v>86</v>
      </c>
      <c r="J22" s="80" t="s">
        <v>86</v>
      </c>
      <c r="K22" s="79" t="e">
        <f t="shared" ref="K22" si="8">H22*(1-L22)</f>
        <v>#VALUE!</v>
      </c>
      <c r="L22" s="81" t="e">
        <f t="shared" ref="L22" si="9">IF((I22/J22)&gt;=0.75,0.75,IF((I22/J22)&gt;=0,(I22/J22),IF((I22/J22)&lt;=0.1,0)))</f>
        <v>#VALUE!</v>
      </c>
      <c r="M22" s="79" t="e">
        <f t="shared" ref="M22" si="10">H22-K22</f>
        <v>#VALUE!</v>
      </c>
      <c r="N22" s="82" t="s">
        <v>86</v>
      </c>
      <c r="O22" s="83" t="s">
        <v>39</v>
      </c>
      <c r="Q22" s="84"/>
    </row>
    <row r="23" spans="1:19" ht="81" customHeight="1" x14ac:dyDescent="0.2">
      <c r="A23" s="76">
        <v>13</v>
      </c>
      <c r="B23" s="77" t="s">
        <v>40</v>
      </c>
      <c r="C23" s="78">
        <v>1</v>
      </c>
      <c r="D23" s="79">
        <v>480</v>
      </c>
      <c r="E23" s="79">
        <f t="shared" ref="E23" si="11">C23*D23</f>
        <v>480</v>
      </c>
      <c r="F23" s="78">
        <v>1</v>
      </c>
      <c r="G23" s="79">
        <v>480</v>
      </c>
      <c r="H23" s="79">
        <f t="shared" ref="H23" si="12">F23*G23</f>
        <v>480</v>
      </c>
      <c r="I23" s="80">
        <v>0</v>
      </c>
      <c r="J23" s="80">
        <v>20</v>
      </c>
      <c r="K23" s="79">
        <f t="shared" ref="K23:K25" si="13">H23*(1-L23)</f>
        <v>480</v>
      </c>
      <c r="L23" s="81">
        <f t="shared" ref="L23:L25" si="14">IF((I23/J23)&gt;=0.75,0.75,IF((I23/J23)&gt;=0,(I23/J23),IF((I23/J23)&lt;=0.1,0)))</f>
        <v>0</v>
      </c>
      <c r="M23" s="79">
        <f t="shared" ref="M23:M25" si="15">H23-K23</f>
        <v>0</v>
      </c>
      <c r="N23" s="82" t="s">
        <v>86</v>
      </c>
      <c r="O23" s="83" t="s">
        <v>41</v>
      </c>
    </row>
    <row r="24" spans="1:19" ht="65" customHeight="1" x14ac:dyDescent="0.2">
      <c r="A24" s="76">
        <v>14</v>
      </c>
      <c r="B24" s="77" t="s">
        <v>42</v>
      </c>
      <c r="C24" s="78">
        <v>3</v>
      </c>
      <c r="D24" s="79">
        <v>55</v>
      </c>
      <c r="E24" s="79">
        <f t="shared" si="0"/>
        <v>165</v>
      </c>
      <c r="F24" s="78">
        <v>3</v>
      </c>
      <c r="G24" s="79">
        <v>55</v>
      </c>
      <c r="H24" s="79">
        <f t="shared" si="1"/>
        <v>165</v>
      </c>
      <c r="I24" s="80">
        <v>0</v>
      </c>
      <c r="J24" s="80">
        <v>20</v>
      </c>
      <c r="K24" s="79">
        <f t="shared" si="13"/>
        <v>165</v>
      </c>
      <c r="L24" s="81">
        <f t="shared" si="14"/>
        <v>0</v>
      </c>
      <c r="M24" s="79">
        <f t="shared" si="15"/>
        <v>0</v>
      </c>
      <c r="N24" s="82" t="s">
        <v>86</v>
      </c>
      <c r="O24" s="83" t="s">
        <v>43</v>
      </c>
      <c r="Q24" s="84"/>
    </row>
    <row r="25" spans="1:19" ht="65" customHeight="1" x14ac:dyDescent="0.2">
      <c r="A25" s="76">
        <v>15</v>
      </c>
      <c r="B25" s="77" t="s">
        <v>44</v>
      </c>
      <c r="C25" s="78">
        <v>3</v>
      </c>
      <c r="D25" s="79">
        <v>140</v>
      </c>
      <c r="E25" s="79">
        <f t="shared" si="0"/>
        <v>420</v>
      </c>
      <c r="F25" s="78">
        <v>3</v>
      </c>
      <c r="G25" s="79">
        <v>140</v>
      </c>
      <c r="H25" s="79">
        <f t="shared" si="1"/>
        <v>420</v>
      </c>
      <c r="I25" s="80" t="s">
        <v>86</v>
      </c>
      <c r="J25" s="80" t="s">
        <v>86</v>
      </c>
      <c r="K25" s="79" t="e">
        <f t="shared" si="13"/>
        <v>#VALUE!</v>
      </c>
      <c r="L25" s="81" t="e">
        <f t="shared" si="14"/>
        <v>#VALUE!</v>
      </c>
      <c r="M25" s="79" t="e">
        <f t="shared" si="15"/>
        <v>#VALUE!</v>
      </c>
      <c r="N25" s="82" t="s">
        <v>86</v>
      </c>
      <c r="O25" s="83" t="s">
        <v>45</v>
      </c>
    </row>
    <row r="26" spans="1:19" ht="65" customHeight="1" x14ac:dyDescent="0.2">
      <c r="A26" s="76">
        <v>16</v>
      </c>
      <c r="B26" s="77" t="s">
        <v>92</v>
      </c>
      <c r="C26" s="78">
        <v>22</v>
      </c>
      <c r="D26" s="79">
        <v>37.5</v>
      </c>
      <c r="E26" s="79">
        <f t="shared" si="0"/>
        <v>825</v>
      </c>
      <c r="F26" s="78">
        <v>22</v>
      </c>
      <c r="G26" s="79">
        <v>37.5</v>
      </c>
      <c r="H26" s="79">
        <f t="shared" si="1"/>
        <v>825</v>
      </c>
      <c r="I26" s="80">
        <v>0</v>
      </c>
      <c r="J26" s="80">
        <v>20</v>
      </c>
      <c r="K26" s="79">
        <f t="shared" ref="K26:K28" si="16">H26*(1-L26)</f>
        <v>825</v>
      </c>
      <c r="L26" s="81">
        <f t="shared" ref="L26:L28" si="17">IF((I26/J26)&gt;=0.75,0.75,IF((I26/J26)&gt;=0,(I26/J26),IF((I26/J26)&lt;=0.1,0)))</f>
        <v>0</v>
      </c>
      <c r="M26" s="79">
        <f t="shared" ref="M26:M28" si="18">H26-K26</f>
        <v>0</v>
      </c>
      <c r="N26" s="82" t="s">
        <v>86</v>
      </c>
      <c r="O26" s="83" t="s">
        <v>93</v>
      </c>
    </row>
    <row r="27" spans="1:19" ht="145" customHeight="1" x14ac:dyDescent="0.35">
      <c r="A27" s="86">
        <v>17</v>
      </c>
      <c r="B27" s="87" t="s">
        <v>46</v>
      </c>
      <c r="C27" s="88">
        <v>3</v>
      </c>
      <c r="D27" s="89">
        <v>156</v>
      </c>
      <c r="E27" s="107">
        <f>468-140</f>
        <v>328</v>
      </c>
      <c r="F27" s="90">
        <v>3</v>
      </c>
      <c r="G27" s="89">
        <v>156</v>
      </c>
      <c r="H27" s="89">
        <f>G27*F27</f>
        <v>468</v>
      </c>
      <c r="I27" s="90">
        <v>0</v>
      </c>
      <c r="J27" s="90">
        <v>20</v>
      </c>
      <c r="K27" s="89">
        <f t="shared" si="16"/>
        <v>468</v>
      </c>
      <c r="L27" s="91">
        <f t="shared" si="17"/>
        <v>0</v>
      </c>
      <c r="M27" s="89">
        <f t="shared" si="18"/>
        <v>0</v>
      </c>
      <c r="N27" s="92" t="s">
        <v>86</v>
      </c>
      <c r="O27" s="93" t="s">
        <v>87</v>
      </c>
      <c r="Q27" s="84"/>
    </row>
    <row r="28" spans="1:19" ht="85" x14ac:dyDescent="0.2">
      <c r="A28" s="76">
        <v>18</v>
      </c>
      <c r="B28" s="77" t="s">
        <v>47</v>
      </c>
      <c r="C28" s="78">
        <v>4</v>
      </c>
      <c r="D28" s="79">
        <v>140</v>
      </c>
      <c r="E28" s="79">
        <f t="shared" si="0"/>
        <v>560</v>
      </c>
      <c r="F28" s="78">
        <v>4</v>
      </c>
      <c r="G28" s="79">
        <v>140</v>
      </c>
      <c r="H28" s="79">
        <f t="shared" si="1"/>
        <v>560</v>
      </c>
      <c r="I28" s="80" t="s">
        <v>86</v>
      </c>
      <c r="J28" s="80" t="s">
        <v>86</v>
      </c>
      <c r="K28" s="79" t="e">
        <f t="shared" si="16"/>
        <v>#VALUE!</v>
      </c>
      <c r="L28" s="81" t="e">
        <f t="shared" si="17"/>
        <v>#VALUE!</v>
      </c>
      <c r="M28" s="79" t="e">
        <f t="shared" si="18"/>
        <v>#VALUE!</v>
      </c>
      <c r="N28" s="82" t="s">
        <v>86</v>
      </c>
      <c r="O28" s="83" t="s">
        <v>48</v>
      </c>
      <c r="Q28" s="84"/>
      <c r="R28" s="84"/>
    </row>
    <row r="29" spans="1:19" ht="76" customHeight="1" x14ac:dyDescent="0.2">
      <c r="A29" s="76">
        <v>19</v>
      </c>
      <c r="B29" s="77" t="s">
        <v>49</v>
      </c>
      <c r="C29" s="78">
        <v>1</v>
      </c>
      <c r="D29" s="79">
        <v>136.5</v>
      </c>
      <c r="E29" s="79">
        <f t="shared" si="0"/>
        <v>136.5</v>
      </c>
      <c r="F29" s="78">
        <v>1</v>
      </c>
      <c r="G29" s="79">
        <v>136.5</v>
      </c>
      <c r="H29" s="79">
        <f t="shared" si="1"/>
        <v>136.5</v>
      </c>
      <c r="I29" s="80">
        <v>0</v>
      </c>
      <c r="J29" s="80">
        <v>20</v>
      </c>
      <c r="K29" s="79">
        <f t="shared" ref="K29:K30" si="19">H29*(1-L29)</f>
        <v>136.5</v>
      </c>
      <c r="L29" s="81">
        <f t="shared" ref="L29:L30" si="20">IF((I29/J29)&gt;=0.75,0.75,IF((I29/J29)&gt;=0,(I29/J29),IF((I29/J29)&lt;=0.1,0)))</f>
        <v>0</v>
      </c>
      <c r="M29" s="79">
        <f t="shared" ref="M29:M30" si="21">H29-K29</f>
        <v>0</v>
      </c>
      <c r="N29" s="82" t="s">
        <v>86</v>
      </c>
      <c r="O29" s="83" t="s">
        <v>50</v>
      </c>
      <c r="Q29" s="84"/>
      <c r="S29" s="106"/>
    </row>
    <row r="30" spans="1:19" ht="76" customHeight="1" x14ac:dyDescent="0.2">
      <c r="A30" s="76">
        <v>20</v>
      </c>
      <c r="B30" s="77" t="s">
        <v>51</v>
      </c>
      <c r="C30" s="78">
        <v>1</v>
      </c>
      <c r="D30" s="79">
        <v>140</v>
      </c>
      <c r="E30" s="79">
        <f t="shared" si="0"/>
        <v>140</v>
      </c>
      <c r="F30" s="78">
        <v>1</v>
      </c>
      <c r="G30" s="79">
        <v>140</v>
      </c>
      <c r="H30" s="79">
        <f t="shared" si="1"/>
        <v>140</v>
      </c>
      <c r="I30" s="80" t="s">
        <v>86</v>
      </c>
      <c r="J30" s="80" t="s">
        <v>86</v>
      </c>
      <c r="K30" s="79" t="e">
        <f t="shared" si="19"/>
        <v>#VALUE!</v>
      </c>
      <c r="L30" s="81" t="e">
        <f t="shared" si="20"/>
        <v>#VALUE!</v>
      </c>
      <c r="M30" s="79" t="e">
        <f t="shared" si="21"/>
        <v>#VALUE!</v>
      </c>
      <c r="N30" s="82" t="s">
        <v>86</v>
      </c>
      <c r="O30" s="83" t="s">
        <v>52</v>
      </c>
    </row>
    <row r="31" spans="1:19" ht="65" customHeight="1" x14ac:dyDescent="0.2">
      <c r="A31" s="76">
        <v>21</v>
      </c>
      <c r="B31" s="77" t="s">
        <v>53</v>
      </c>
      <c r="C31" s="78">
        <v>7</v>
      </c>
      <c r="D31" s="79">
        <v>82</v>
      </c>
      <c r="E31" s="79">
        <f t="shared" si="0"/>
        <v>574</v>
      </c>
      <c r="F31" s="78">
        <v>7</v>
      </c>
      <c r="G31" s="79">
        <v>82</v>
      </c>
      <c r="H31" s="79">
        <f t="shared" si="1"/>
        <v>574</v>
      </c>
      <c r="I31" s="80">
        <v>0</v>
      </c>
      <c r="J31" s="80">
        <v>20</v>
      </c>
      <c r="K31" s="79">
        <f t="shared" ref="K31:K32" si="22">H31*(1-L31)</f>
        <v>574</v>
      </c>
      <c r="L31" s="81">
        <f t="shared" ref="L31:L32" si="23">IF((I31/J31)&gt;=0.75,0.75,IF((I31/J31)&gt;=0,(I31/J31),IF((I31/J31)&lt;=0.1,0)))</f>
        <v>0</v>
      </c>
      <c r="M31" s="79">
        <f t="shared" ref="M31:M32" si="24">H31-K31</f>
        <v>0</v>
      </c>
      <c r="N31" s="82" t="s">
        <v>86</v>
      </c>
      <c r="O31" s="83" t="s">
        <v>54</v>
      </c>
      <c r="Q31" s="84"/>
    </row>
    <row r="32" spans="1:19" ht="65" customHeight="1" x14ac:dyDescent="0.2">
      <c r="A32" s="76">
        <v>22</v>
      </c>
      <c r="B32" s="77" t="s">
        <v>55</v>
      </c>
      <c r="C32" s="78">
        <v>7</v>
      </c>
      <c r="D32" s="79">
        <v>140</v>
      </c>
      <c r="E32" s="79">
        <f t="shared" si="0"/>
        <v>980</v>
      </c>
      <c r="F32" s="78">
        <v>7</v>
      </c>
      <c r="G32" s="79">
        <v>140</v>
      </c>
      <c r="H32" s="79">
        <f t="shared" si="1"/>
        <v>980</v>
      </c>
      <c r="I32" s="80" t="s">
        <v>86</v>
      </c>
      <c r="J32" s="80" t="s">
        <v>86</v>
      </c>
      <c r="K32" s="79" t="e">
        <f t="shared" si="22"/>
        <v>#VALUE!</v>
      </c>
      <c r="L32" s="81" t="e">
        <f t="shared" si="23"/>
        <v>#VALUE!</v>
      </c>
      <c r="M32" s="79" t="e">
        <f t="shared" si="24"/>
        <v>#VALUE!</v>
      </c>
      <c r="N32" s="82" t="s">
        <v>86</v>
      </c>
      <c r="O32" s="83" t="s">
        <v>56</v>
      </c>
    </row>
    <row r="33" spans="1:17" ht="65" customHeight="1" x14ac:dyDescent="0.2">
      <c r="A33" s="76">
        <v>23</v>
      </c>
      <c r="B33" s="77" t="s">
        <v>57</v>
      </c>
      <c r="C33" s="78">
        <v>9</v>
      </c>
      <c r="D33" s="79">
        <v>67.5</v>
      </c>
      <c r="E33" s="79">
        <f t="shared" si="0"/>
        <v>607.5</v>
      </c>
      <c r="F33" s="78">
        <v>9</v>
      </c>
      <c r="G33" s="79">
        <v>67.5</v>
      </c>
      <c r="H33" s="79">
        <f t="shared" si="1"/>
        <v>607.5</v>
      </c>
      <c r="I33" s="80">
        <v>0</v>
      </c>
      <c r="J33" s="80">
        <v>20</v>
      </c>
      <c r="K33" s="79">
        <f t="shared" ref="K33:K37" si="25">H33*(1-L33)</f>
        <v>607.5</v>
      </c>
      <c r="L33" s="81">
        <f t="shared" ref="L33:L37" si="26">IF((I33/J33)&gt;=0.75,0.75,IF((I33/J33)&gt;=0,(I33/J33),IF((I33/J33)&lt;=0.1,0)))</f>
        <v>0</v>
      </c>
      <c r="M33" s="79">
        <f t="shared" ref="M33:M37" si="27">H33-K33</f>
        <v>0</v>
      </c>
      <c r="N33" s="82" t="s">
        <v>86</v>
      </c>
      <c r="O33" s="83" t="s">
        <v>58</v>
      </c>
    </row>
    <row r="34" spans="1:17" ht="65" customHeight="1" x14ac:dyDescent="0.2">
      <c r="A34" s="76">
        <v>24</v>
      </c>
      <c r="B34" s="77" t="s">
        <v>59</v>
      </c>
      <c r="C34" s="78">
        <v>4</v>
      </c>
      <c r="D34" s="79">
        <v>184.25</v>
      </c>
      <c r="E34" s="79">
        <f t="shared" si="0"/>
        <v>737</v>
      </c>
      <c r="F34" s="78">
        <v>4</v>
      </c>
      <c r="G34" s="79">
        <v>184.25</v>
      </c>
      <c r="H34" s="79">
        <f t="shared" si="1"/>
        <v>737</v>
      </c>
      <c r="I34" s="80">
        <v>0</v>
      </c>
      <c r="J34" s="80">
        <v>20</v>
      </c>
      <c r="K34" s="79">
        <f t="shared" si="25"/>
        <v>737</v>
      </c>
      <c r="L34" s="81">
        <f t="shared" si="26"/>
        <v>0</v>
      </c>
      <c r="M34" s="79">
        <f t="shared" si="27"/>
        <v>0</v>
      </c>
      <c r="N34" s="82" t="s">
        <v>86</v>
      </c>
      <c r="O34" s="83" t="s">
        <v>60</v>
      </c>
    </row>
    <row r="35" spans="1:17" ht="75" customHeight="1" x14ac:dyDescent="0.2">
      <c r="A35" s="76">
        <v>25</v>
      </c>
      <c r="B35" s="77" t="s">
        <v>61</v>
      </c>
      <c r="C35" s="78">
        <v>3</v>
      </c>
      <c r="D35" s="79">
        <v>53.7</v>
      </c>
      <c r="E35" s="79">
        <f t="shared" si="0"/>
        <v>161.10000000000002</v>
      </c>
      <c r="F35" s="78">
        <v>3</v>
      </c>
      <c r="G35" s="79">
        <v>53.7</v>
      </c>
      <c r="H35" s="79">
        <f t="shared" si="1"/>
        <v>161.10000000000002</v>
      </c>
      <c r="I35" s="80">
        <v>0</v>
      </c>
      <c r="J35" s="80">
        <v>20</v>
      </c>
      <c r="K35" s="79">
        <f t="shared" si="25"/>
        <v>161.10000000000002</v>
      </c>
      <c r="L35" s="81">
        <f t="shared" si="26"/>
        <v>0</v>
      </c>
      <c r="M35" s="79">
        <f t="shared" si="27"/>
        <v>0</v>
      </c>
      <c r="N35" s="82" t="s">
        <v>86</v>
      </c>
      <c r="O35" s="83" t="s">
        <v>62</v>
      </c>
      <c r="Q35" s="84"/>
    </row>
    <row r="36" spans="1:17" ht="81" customHeight="1" x14ac:dyDescent="0.2">
      <c r="A36" s="76">
        <v>26</v>
      </c>
      <c r="B36" s="77" t="s">
        <v>63</v>
      </c>
      <c r="C36" s="78">
        <v>3</v>
      </c>
      <c r="D36" s="79">
        <v>140</v>
      </c>
      <c r="E36" s="79">
        <f t="shared" si="0"/>
        <v>420</v>
      </c>
      <c r="F36" s="78">
        <v>3</v>
      </c>
      <c r="G36" s="79">
        <v>140</v>
      </c>
      <c r="H36" s="79">
        <f t="shared" si="1"/>
        <v>420</v>
      </c>
      <c r="I36" s="80" t="s">
        <v>86</v>
      </c>
      <c r="J36" s="80" t="s">
        <v>86</v>
      </c>
      <c r="K36" s="79" t="e">
        <f t="shared" si="25"/>
        <v>#VALUE!</v>
      </c>
      <c r="L36" s="81" t="e">
        <f t="shared" si="26"/>
        <v>#VALUE!</v>
      </c>
      <c r="M36" s="79" t="e">
        <f t="shared" si="27"/>
        <v>#VALUE!</v>
      </c>
      <c r="N36" s="82" t="s">
        <v>86</v>
      </c>
      <c r="O36" s="83" t="s">
        <v>64</v>
      </c>
    </row>
    <row r="37" spans="1:17" ht="68" x14ac:dyDescent="0.2">
      <c r="A37" s="76">
        <v>27</v>
      </c>
      <c r="B37" s="77" t="s">
        <v>65</v>
      </c>
      <c r="C37" s="78">
        <v>10</v>
      </c>
      <c r="D37" s="79">
        <v>140</v>
      </c>
      <c r="E37" s="79">
        <f t="shared" si="0"/>
        <v>1400</v>
      </c>
      <c r="F37" s="78">
        <v>10</v>
      </c>
      <c r="G37" s="79">
        <v>140</v>
      </c>
      <c r="H37" s="79">
        <f t="shared" si="1"/>
        <v>1400</v>
      </c>
      <c r="I37" s="80" t="s">
        <v>86</v>
      </c>
      <c r="J37" s="80" t="s">
        <v>86</v>
      </c>
      <c r="K37" s="79" t="e">
        <f t="shared" si="25"/>
        <v>#VALUE!</v>
      </c>
      <c r="L37" s="81" t="e">
        <f t="shared" si="26"/>
        <v>#VALUE!</v>
      </c>
      <c r="M37" s="79" t="e">
        <f t="shared" si="27"/>
        <v>#VALUE!</v>
      </c>
      <c r="N37" s="82" t="s">
        <v>86</v>
      </c>
      <c r="O37" s="83" t="s">
        <v>94</v>
      </c>
    </row>
    <row r="38" spans="1:17" ht="65" customHeight="1" x14ac:dyDescent="0.2">
      <c r="A38" s="76">
        <v>28</v>
      </c>
      <c r="B38" s="77" t="s">
        <v>66</v>
      </c>
      <c r="C38" s="78">
        <v>3</v>
      </c>
      <c r="D38" s="79">
        <v>31.9</v>
      </c>
      <c r="E38" s="79">
        <f t="shared" si="0"/>
        <v>95.699999999999989</v>
      </c>
      <c r="F38" s="78">
        <v>3</v>
      </c>
      <c r="G38" s="79">
        <v>31.9</v>
      </c>
      <c r="H38" s="79">
        <f t="shared" si="1"/>
        <v>95.699999999999989</v>
      </c>
      <c r="I38" s="80">
        <v>0</v>
      </c>
      <c r="J38" s="80">
        <v>20</v>
      </c>
      <c r="K38" s="79">
        <f t="shared" ref="K38:K42" si="28">H38*(1-L38)</f>
        <v>95.699999999999989</v>
      </c>
      <c r="L38" s="81">
        <f t="shared" ref="L38:L42" si="29">IF((I38/J38)&gt;=0.75,0.75,IF((I38/J38)&gt;=0,(I38/J38),IF((I38/J38)&lt;=0.1,0)))</f>
        <v>0</v>
      </c>
      <c r="M38" s="79">
        <f t="shared" ref="M38:M42" si="30">H38-K38</f>
        <v>0</v>
      </c>
      <c r="N38" s="82" t="s">
        <v>86</v>
      </c>
      <c r="O38" s="83" t="s">
        <v>67</v>
      </c>
    </row>
    <row r="39" spans="1:17" ht="85" x14ac:dyDescent="0.2">
      <c r="A39" s="76">
        <v>29</v>
      </c>
      <c r="B39" s="77" t="s">
        <v>68</v>
      </c>
      <c r="C39" s="78">
        <v>2</v>
      </c>
      <c r="D39" s="79">
        <v>94.25</v>
      </c>
      <c r="E39" s="79">
        <f t="shared" si="0"/>
        <v>188.5</v>
      </c>
      <c r="F39" s="78">
        <v>2</v>
      </c>
      <c r="G39" s="79">
        <v>94.25</v>
      </c>
      <c r="H39" s="79">
        <f t="shared" si="1"/>
        <v>188.5</v>
      </c>
      <c r="I39" s="80">
        <v>0</v>
      </c>
      <c r="J39" s="80">
        <v>20</v>
      </c>
      <c r="K39" s="79">
        <f t="shared" si="28"/>
        <v>188.5</v>
      </c>
      <c r="L39" s="81">
        <f t="shared" si="29"/>
        <v>0</v>
      </c>
      <c r="M39" s="79">
        <f t="shared" si="30"/>
        <v>0</v>
      </c>
      <c r="N39" s="82" t="s">
        <v>86</v>
      </c>
      <c r="O39" s="83" t="s">
        <v>69</v>
      </c>
    </row>
    <row r="40" spans="1:17" ht="89" customHeight="1" x14ac:dyDescent="0.2">
      <c r="A40" s="86">
        <v>30</v>
      </c>
      <c r="B40" s="87" t="s">
        <v>70</v>
      </c>
      <c r="C40" s="88">
        <v>1</v>
      </c>
      <c r="D40" s="89">
        <v>400</v>
      </c>
      <c r="E40" s="89">
        <f t="shared" si="0"/>
        <v>400</v>
      </c>
      <c r="F40" s="88">
        <v>1</v>
      </c>
      <c r="G40" s="89">
        <v>400</v>
      </c>
      <c r="H40" s="89">
        <f t="shared" si="1"/>
        <v>400</v>
      </c>
      <c r="I40" s="80">
        <v>0</v>
      </c>
      <c r="J40" s="80">
        <v>20</v>
      </c>
      <c r="K40" s="79">
        <f t="shared" si="28"/>
        <v>400</v>
      </c>
      <c r="L40" s="81">
        <f t="shared" si="29"/>
        <v>0</v>
      </c>
      <c r="M40" s="79">
        <f t="shared" si="30"/>
        <v>0</v>
      </c>
      <c r="N40" s="82" t="s">
        <v>86</v>
      </c>
      <c r="O40" s="93" t="s">
        <v>95</v>
      </c>
    </row>
    <row r="41" spans="1:17" ht="65" customHeight="1" x14ac:dyDescent="0.2">
      <c r="A41" s="76">
        <v>31</v>
      </c>
      <c r="B41" s="77" t="s">
        <v>71</v>
      </c>
      <c r="C41" s="78">
        <v>1</v>
      </c>
      <c r="D41" s="79">
        <v>60</v>
      </c>
      <c r="E41" s="79">
        <f t="shared" si="0"/>
        <v>60</v>
      </c>
      <c r="F41" s="78">
        <v>1</v>
      </c>
      <c r="G41" s="79">
        <v>60</v>
      </c>
      <c r="H41" s="79">
        <f t="shared" si="1"/>
        <v>60</v>
      </c>
      <c r="I41" s="80">
        <v>0</v>
      </c>
      <c r="J41" s="80">
        <v>20</v>
      </c>
      <c r="K41" s="79">
        <f t="shared" si="28"/>
        <v>60</v>
      </c>
      <c r="L41" s="81">
        <f t="shared" si="29"/>
        <v>0</v>
      </c>
      <c r="M41" s="79">
        <f t="shared" si="30"/>
        <v>0</v>
      </c>
      <c r="N41" s="82" t="s">
        <v>86</v>
      </c>
      <c r="O41" s="83" t="s">
        <v>72</v>
      </c>
    </row>
    <row r="42" spans="1:17" ht="65" customHeight="1" x14ac:dyDescent="0.2">
      <c r="A42" s="76">
        <v>32</v>
      </c>
      <c r="B42" s="77" t="s">
        <v>73</v>
      </c>
      <c r="C42" s="78">
        <v>1</v>
      </c>
      <c r="D42" s="79">
        <v>140</v>
      </c>
      <c r="E42" s="79">
        <f t="shared" si="0"/>
        <v>140</v>
      </c>
      <c r="F42" s="78">
        <v>1</v>
      </c>
      <c r="G42" s="79">
        <v>140</v>
      </c>
      <c r="H42" s="79">
        <f t="shared" si="1"/>
        <v>140</v>
      </c>
      <c r="I42" s="80" t="s">
        <v>86</v>
      </c>
      <c r="J42" s="80" t="s">
        <v>86</v>
      </c>
      <c r="K42" s="79" t="e">
        <f t="shared" si="28"/>
        <v>#VALUE!</v>
      </c>
      <c r="L42" s="81" t="e">
        <f t="shared" si="29"/>
        <v>#VALUE!</v>
      </c>
      <c r="M42" s="79" t="e">
        <f t="shared" si="30"/>
        <v>#VALUE!</v>
      </c>
      <c r="N42" s="82" t="s">
        <v>86</v>
      </c>
      <c r="O42" s="83" t="s">
        <v>74</v>
      </c>
    </row>
    <row r="43" spans="1:17" ht="85" x14ac:dyDescent="0.2">
      <c r="A43" s="76">
        <v>33</v>
      </c>
      <c r="B43" s="77" t="s">
        <v>75</v>
      </c>
      <c r="C43" s="78">
        <v>3</v>
      </c>
      <c r="D43" s="79">
        <v>60</v>
      </c>
      <c r="E43" s="79">
        <f t="shared" si="0"/>
        <v>180</v>
      </c>
      <c r="F43" s="78">
        <v>3</v>
      </c>
      <c r="G43" s="79">
        <v>60</v>
      </c>
      <c r="H43" s="79">
        <f t="shared" si="1"/>
        <v>180</v>
      </c>
      <c r="I43" s="80">
        <v>0</v>
      </c>
      <c r="J43" s="80">
        <v>20</v>
      </c>
      <c r="K43" s="79">
        <f t="shared" ref="K43:K45" si="31">H43*(1-L43)</f>
        <v>180</v>
      </c>
      <c r="L43" s="81">
        <f t="shared" ref="L43:L45" si="32">IF((I43/J43)&gt;=0.75,0.75,IF((I43/J43)&gt;=0,(I43/J43),IF((I43/J43)&lt;=0.1,0)))</f>
        <v>0</v>
      </c>
      <c r="M43" s="79">
        <f t="shared" ref="M43:M45" si="33">H43-K43</f>
        <v>0</v>
      </c>
      <c r="N43" s="82" t="s">
        <v>86</v>
      </c>
      <c r="O43" s="83" t="s">
        <v>76</v>
      </c>
    </row>
    <row r="44" spans="1:17" ht="68" x14ac:dyDescent="0.2">
      <c r="A44" s="76">
        <v>34</v>
      </c>
      <c r="B44" s="77" t="s">
        <v>77</v>
      </c>
      <c r="C44" s="78">
        <v>2.5</v>
      </c>
      <c r="D44" s="79">
        <v>140</v>
      </c>
      <c r="E44" s="79">
        <f t="shared" si="0"/>
        <v>350</v>
      </c>
      <c r="F44" s="78">
        <v>2.5</v>
      </c>
      <c r="G44" s="79">
        <v>140</v>
      </c>
      <c r="H44" s="79">
        <f t="shared" si="1"/>
        <v>350</v>
      </c>
      <c r="I44" s="80" t="s">
        <v>86</v>
      </c>
      <c r="J44" s="80" t="s">
        <v>86</v>
      </c>
      <c r="K44" s="79" t="e">
        <f t="shared" si="31"/>
        <v>#VALUE!</v>
      </c>
      <c r="L44" s="81" t="e">
        <f t="shared" si="32"/>
        <v>#VALUE!</v>
      </c>
      <c r="M44" s="79" t="e">
        <f t="shared" si="33"/>
        <v>#VALUE!</v>
      </c>
      <c r="N44" s="82" t="s">
        <v>86</v>
      </c>
      <c r="O44" s="83" t="s">
        <v>78</v>
      </c>
    </row>
    <row r="45" spans="1:17" ht="72" customHeight="1" thickBot="1" x14ac:dyDescent="0.25">
      <c r="A45" s="94">
        <v>35</v>
      </c>
      <c r="B45" s="95" t="s">
        <v>79</v>
      </c>
      <c r="C45" s="96">
        <v>1</v>
      </c>
      <c r="D45" s="97">
        <v>900</v>
      </c>
      <c r="E45" s="97">
        <f t="shared" si="0"/>
        <v>900</v>
      </c>
      <c r="F45" s="96">
        <v>1</v>
      </c>
      <c r="G45" s="97">
        <v>900</v>
      </c>
      <c r="H45" s="97">
        <f t="shared" si="1"/>
        <v>900</v>
      </c>
      <c r="I45" s="80" t="s">
        <v>86</v>
      </c>
      <c r="J45" s="80" t="s">
        <v>86</v>
      </c>
      <c r="K45" s="79" t="e">
        <f t="shared" si="31"/>
        <v>#VALUE!</v>
      </c>
      <c r="L45" s="81" t="e">
        <f t="shared" si="32"/>
        <v>#VALUE!</v>
      </c>
      <c r="M45" s="79" t="e">
        <f t="shared" si="33"/>
        <v>#VALUE!</v>
      </c>
      <c r="N45" s="82" t="s">
        <v>86</v>
      </c>
      <c r="O45" s="98" t="s">
        <v>80</v>
      </c>
    </row>
    <row r="46" spans="1:17" s="5" customFormat="1" ht="18" customHeight="1" thickBot="1" x14ac:dyDescent="0.25">
      <c r="A46" s="32" t="s">
        <v>15</v>
      </c>
      <c r="B46" s="33"/>
      <c r="C46" s="33"/>
      <c r="D46" s="34"/>
      <c r="E46" s="99">
        <f>SUM(E11:E45)</f>
        <v>31853.3</v>
      </c>
      <c r="F46" s="14"/>
      <c r="G46" s="15"/>
      <c r="H46" s="102">
        <f>SUM(H11:H45)</f>
        <v>31993.3</v>
      </c>
      <c r="I46" s="35"/>
      <c r="J46" s="36"/>
      <c r="K46" s="16" t="e">
        <f>SUM(K11:K45)</f>
        <v>#VALUE!</v>
      </c>
      <c r="L46" s="16"/>
      <c r="M46" s="16" t="e">
        <f>SUM(M11:M45)</f>
        <v>#VALUE!</v>
      </c>
      <c r="N46"/>
    </row>
    <row r="47" spans="1:17" s="5" customFormat="1" ht="18" customHeight="1" thickBot="1" x14ac:dyDescent="0.25">
      <c r="A47" s="27" t="s">
        <v>16</v>
      </c>
      <c r="B47" s="28"/>
      <c r="C47" s="28"/>
      <c r="D47" s="29"/>
      <c r="E47" s="100">
        <v>0</v>
      </c>
      <c r="F47" s="17"/>
      <c r="G47" s="18"/>
      <c r="H47" s="100">
        <v>0</v>
      </c>
      <c r="I47" s="30"/>
      <c r="J47" s="31"/>
      <c r="K47" s="19">
        <v>0</v>
      </c>
      <c r="L47" s="19"/>
      <c r="M47" s="19">
        <v>0</v>
      </c>
      <c r="N47"/>
    </row>
    <row r="48" spans="1:17" s="5" customFormat="1" ht="18" customHeight="1" thickBot="1" x14ac:dyDescent="0.25">
      <c r="A48" s="27" t="s">
        <v>14</v>
      </c>
      <c r="B48" s="28"/>
      <c r="C48" s="28"/>
      <c r="D48" s="29"/>
      <c r="E48" s="101">
        <f>SUM(E46:E47)</f>
        <v>31853.3</v>
      </c>
      <c r="F48" s="20"/>
      <c r="G48" s="21"/>
      <c r="H48" s="101">
        <f>SUM(H46,H47)</f>
        <v>31993.3</v>
      </c>
      <c r="I48" s="25"/>
      <c r="J48" s="26"/>
      <c r="K48" s="22" t="e">
        <f>SUM(K46:K47)</f>
        <v>#VALUE!</v>
      </c>
      <c r="L48" s="22"/>
      <c r="M48" s="22" t="e">
        <f>SUM(M46:M47)</f>
        <v>#VALUE!</v>
      </c>
      <c r="N48"/>
    </row>
    <row r="49" spans="2:12" ht="17" thickBot="1" x14ac:dyDescent="0.25"/>
    <row r="50" spans="2:12" x14ac:dyDescent="0.2">
      <c r="B50" s="53" t="s">
        <v>17</v>
      </c>
      <c r="C50" s="54"/>
      <c r="D50" s="55"/>
      <c r="E50" s="103">
        <f>E48</f>
        <v>31853.3</v>
      </c>
    </row>
    <row r="51" spans="2:12" x14ac:dyDescent="0.2">
      <c r="B51" s="56"/>
      <c r="C51" s="57"/>
      <c r="D51" s="58"/>
      <c r="E51" s="104"/>
      <c r="G51" s="24"/>
      <c r="I51" s="8"/>
      <c r="J51" s="8"/>
      <c r="K51" s="8"/>
      <c r="L51" s="8"/>
    </row>
    <row r="52" spans="2:12" x14ac:dyDescent="0.2">
      <c r="I52" s="8"/>
      <c r="J52" s="8"/>
      <c r="K52" s="8"/>
      <c r="L52" s="8"/>
    </row>
    <row r="53" spans="2:12" x14ac:dyDescent="0.2">
      <c r="B53" s="53" t="s">
        <v>18</v>
      </c>
      <c r="C53" s="54"/>
      <c r="D53" s="55"/>
      <c r="E53" s="103">
        <f>H48</f>
        <v>31993.3</v>
      </c>
    </row>
    <row r="54" spans="2:12" x14ac:dyDescent="0.2">
      <c r="B54" s="56"/>
      <c r="C54" s="57"/>
      <c r="D54" s="58"/>
      <c r="E54" s="105"/>
    </row>
  </sheetData>
  <mergeCells count="28">
    <mergeCell ref="I46:J46"/>
    <mergeCell ref="A47:D47"/>
    <mergeCell ref="I47:J47"/>
    <mergeCell ref="A48:D48"/>
    <mergeCell ref="I48:J48"/>
    <mergeCell ref="B53:D54"/>
    <mergeCell ref="E53:E54"/>
    <mergeCell ref="B50:D51"/>
    <mergeCell ref="E50:E51"/>
    <mergeCell ref="A1:E1"/>
    <mergeCell ref="A2:E2"/>
    <mergeCell ref="A3:E3"/>
    <mergeCell ref="A4:E4"/>
    <mergeCell ref="A5:E5"/>
    <mergeCell ref="A46:D46"/>
    <mergeCell ref="G4:H5"/>
    <mergeCell ref="F9:H9"/>
    <mergeCell ref="A9:A10"/>
    <mergeCell ref="A8:O8"/>
    <mergeCell ref="C9:E9"/>
    <mergeCell ref="B9:B10"/>
    <mergeCell ref="L9:L10"/>
    <mergeCell ref="O9:O10"/>
    <mergeCell ref="I9:I10"/>
    <mergeCell ref="J9:J10"/>
    <mergeCell ref="K9:K10"/>
    <mergeCell ref="M9:M10"/>
    <mergeCell ref="N9:N10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2026-03-01T00:31:31Z</dcterms:modified>
  <cp:category/>
  <cp:contentStatus/>
</cp:coreProperties>
</file>