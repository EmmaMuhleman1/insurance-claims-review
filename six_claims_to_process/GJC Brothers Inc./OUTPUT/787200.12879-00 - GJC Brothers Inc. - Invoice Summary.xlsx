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ummary" sheetId="1" state="visible" r:id="rId1"/>
    <sheet xmlns:r="http://schemas.openxmlformats.org/officeDocument/2006/relationships" name="LookupLi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$#,##0.00"/>
    <numFmt numFmtId="166" formatCode="$#,##0.000"/>
  </numFmts>
  <fonts count="3">
    <font>
      <name val="Calibri"/>
      <family val="2"/>
      <color theme="1"/>
      <sz val="11"/>
      <scheme val="minor"/>
    </font>
    <font>
      <b val="1"/>
      <sz val="11"/>
    </font>
    <font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2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0" borderId="0" pivotButton="0" quotePrefix="0" xfId="0"/>
    <xf numFmtId="2" fontId="1" fillId="0" borderId="0" pivotButton="0" quotePrefix="0" xfId="0"/>
    <xf numFmtId="165" fontId="1" fillId="0" borderId="0" pivotButton="0" quotePrefix="0" xfId="0"/>
    <xf numFmtId="166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4" customWidth="1" min="1" max="1"/>
    <col width="8" customWidth="1" min="2" max="2"/>
    <col width="22" customWidth="1" min="3" max="3"/>
    <col width="22" customWidth="1" min="4" max="4"/>
    <col width="32" customWidth="1" min="5" max="5"/>
    <col width="10" customWidth="1" min="6" max="6"/>
    <col width="18" customWidth="1" min="7" max="7"/>
    <col width="18" customWidth="1" min="8" max="8"/>
  </cols>
  <sheetData>
    <row r="1">
      <c r="A1" s="1" t="inlineStr">
        <is>
          <t>Date</t>
        </is>
      </c>
      <c r="B1" s="1" t="inlineStr">
        <is>
          <t>Hours</t>
        </is>
      </c>
      <c r="C1" s="1" t="inlineStr">
        <is>
          <t>Matter Number</t>
        </is>
      </c>
      <c r="D1" s="1" t="inlineStr">
        <is>
          <t>Matter Name</t>
        </is>
      </c>
      <c r="E1" s="1" t="inlineStr">
        <is>
          <t>Activity</t>
        </is>
      </c>
      <c r="F1" s="1" t="inlineStr">
        <is>
          <t>Pay Rate</t>
        </is>
      </c>
      <c r="G1" s="1" t="inlineStr">
        <is>
          <t>Ext Rate (Earnings)</t>
        </is>
      </c>
      <c r="H1" s="1" t="inlineStr">
        <is>
          <t>Consultant</t>
        </is>
      </c>
    </row>
    <row r="2">
      <c r="A2" s="2" t="inlineStr">
        <is>
          <t>2/20/2026</t>
        </is>
      </c>
      <c r="B2" s="3" t="n">
        <v>0.5</v>
      </c>
      <c r="C2" s="2" t="inlineStr">
        <is>
          <t>787200.12879-00</t>
        </is>
      </c>
      <c r="D2" s="2" t="inlineStr">
        <is>
          <t>GJC Brothers Inc.</t>
        </is>
      </c>
      <c r="E2" s="2" t="inlineStr">
        <is>
          <t>File Review &amp; Client Contact</t>
        </is>
      </c>
      <c r="F2" s="4" t="n">
        <v>175</v>
      </c>
      <c r="G2" s="5">
        <f>B2*F2</f>
        <v/>
      </c>
      <c r="H2" s="2" t="inlineStr">
        <is>
          <t>Tanner Beuret</t>
        </is>
      </c>
    </row>
    <row r="3">
      <c r="A3" s="2" t="inlineStr">
        <is>
          <t>2/25/2026</t>
        </is>
      </c>
      <c r="B3" s="3" t="n">
        <v>0.5</v>
      </c>
      <c r="C3" s="2" t="inlineStr">
        <is>
          <t>787200.12879-00</t>
        </is>
      </c>
      <c r="D3" s="2" t="inlineStr">
        <is>
          <t>GJC Brothers Inc.</t>
        </is>
      </c>
      <c r="E3" s="2" t="inlineStr">
        <is>
          <t>File Review &amp; Client Contact</t>
        </is>
      </c>
      <c r="F3" s="4" t="n">
        <v>175</v>
      </c>
      <c r="G3" s="5">
        <f>B3*F3</f>
        <v/>
      </c>
      <c r="H3" s="2" t="inlineStr">
        <is>
          <t>Tanner Beuret</t>
        </is>
      </c>
    </row>
    <row r="4">
      <c r="A4" s="2" t="inlineStr">
        <is>
          <t>2/20/2026</t>
        </is>
      </c>
      <c r="B4" s="3" t="n">
        <v>0.5</v>
      </c>
      <c r="C4" s="2" t="inlineStr">
        <is>
          <t>787200.12879-00</t>
        </is>
      </c>
      <c r="D4" s="2" t="inlineStr">
        <is>
          <t>GJC Brothers Inc.</t>
        </is>
      </c>
      <c r="E4" s="2" t="inlineStr">
        <is>
          <t>Insured</t>
        </is>
      </c>
      <c r="F4" s="4" t="n">
        <v>175</v>
      </c>
      <c r="G4" s="5">
        <f>B4*F4</f>
        <v/>
      </c>
      <c r="H4" s="2" t="inlineStr">
        <is>
          <t>Tanner Beuret</t>
        </is>
      </c>
    </row>
    <row r="5">
      <c r="A5" s="2" t="inlineStr">
        <is>
          <t>2/24/2026</t>
        </is>
      </c>
      <c r="B5" s="3" t="n">
        <v>0.25</v>
      </c>
      <c r="C5" s="2" t="inlineStr">
        <is>
          <t>787200.12879-00</t>
        </is>
      </c>
      <c r="D5" s="2" t="inlineStr">
        <is>
          <t>GJC Brothers Inc.</t>
        </is>
      </c>
      <c r="E5" s="2" t="inlineStr">
        <is>
          <t>Insured</t>
        </is>
      </c>
      <c r="F5" s="4" t="n">
        <v>175</v>
      </c>
      <c r="G5" s="5">
        <f>B5*F5</f>
        <v/>
      </c>
      <c r="H5" s="2" t="inlineStr">
        <is>
          <t>Tanner Beuret</t>
        </is>
      </c>
    </row>
    <row r="6">
      <c r="A6" s="2" t="inlineStr">
        <is>
          <t>2/20/2026</t>
        </is>
      </c>
      <c r="B6" s="3" t="n">
        <v>0.5</v>
      </c>
      <c r="C6" s="2" t="inlineStr">
        <is>
          <t>787200.12879-00</t>
        </is>
      </c>
      <c r="D6" s="2" t="inlineStr">
        <is>
          <t>GJC Brothers Inc.</t>
        </is>
      </c>
      <c r="E6" s="2" t="inlineStr">
        <is>
          <t>Vendors</t>
        </is>
      </c>
      <c r="F6" s="4" t="n">
        <v>175</v>
      </c>
      <c r="G6" s="5">
        <f>B6*F6</f>
        <v/>
      </c>
      <c r="H6" s="2" t="inlineStr">
        <is>
          <t>Tanner Beuret</t>
        </is>
      </c>
    </row>
    <row r="7">
      <c r="A7" s="2" t="inlineStr">
        <is>
          <t>2/24/2026</t>
        </is>
      </c>
      <c r="B7" s="3" t="n">
        <v>1.75</v>
      </c>
      <c r="C7" s="2" t="inlineStr">
        <is>
          <t>787200.12879-00</t>
        </is>
      </c>
      <c r="D7" s="2" t="inlineStr">
        <is>
          <t>GJC Brothers Inc.</t>
        </is>
      </c>
      <c r="E7" s="2" t="inlineStr">
        <is>
          <t>Vendors</t>
        </is>
      </c>
      <c r="F7" s="4" t="n">
        <v>175</v>
      </c>
      <c r="G7" s="5">
        <f>B7*F7</f>
        <v/>
      </c>
      <c r="H7" s="2" t="inlineStr">
        <is>
          <t>Tanner Beuret</t>
        </is>
      </c>
    </row>
    <row r="8">
      <c r="A8" s="2" t="inlineStr">
        <is>
          <t>2/25/2026</t>
        </is>
      </c>
      <c r="B8" s="3" t="n">
        <v>0.5</v>
      </c>
      <c r="C8" s="2" t="inlineStr">
        <is>
          <t>787200.12879-00</t>
        </is>
      </c>
      <c r="D8" s="2" t="inlineStr">
        <is>
          <t>GJC Brothers Inc.</t>
        </is>
      </c>
      <c r="E8" s="2" t="inlineStr">
        <is>
          <t>Vendors</t>
        </is>
      </c>
      <c r="F8" s="4" t="n">
        <v>175</v>
      </c>
      <c r="G8" s="5">
        <f>B8*F8</f>
        <v/>
      </c>
      <c r="H8" s="2" t="inlineStr">
        <is>
          <t>Tanner Beuret</t>
        </is>
      </c>
    </row>
    <row r="9">
      <c r="A9" s="2" t="inlineStr">
        <is>
          <t>2/26/2026</t>
        </is>
      </c>
      <c r="B9" s="3" t="n">
        <v>0.5</v>
      </c>
      <c r="C9" s="2" t="inlineStr">
        <is>
          <t>787200.12879-00</t>
        </is>
      </c>
      <c r="D9" s="2" t="inlineStr">
        <is>
          <t>GJC Brothers Inc.</t>
        </is>
      </c>
      <c r="E9" s="2" t="inlineStr">
        <is>
          <t>Vendors</t>
        </is>
      </c>
      <c r="F9" s="4" t="n">
        <v>175</v>
      </c>
      <c r="G9" s="5">
        <f>B9*F9</f>
        <v/>
      </c>
      <c r="H9" s="2" t="inlineStr">
        <is>
          <t>Tanner Beuret</t>
        </is>
      </c>
    </row>
    <row r="10">
      <c r="A10" s="2" t="inlineStr">
        <is>
          <t>2/24/2026</t>
        </is>
      </c>
      <c r="B10" s="3" t="n">
        <v>1</v>
      </c>
      <c r="C10" s="2" t="inlineStr">
        <is>
          <t>787200.12879-00</t>
        </is>
      </c>
      <c r="D10" s="2" t="inlineStr">
        <is>
          <t>GJC Brothers Inc.</t>
        </is>
      </c>
      <c r="E10" s="2" t="inlineStr">
        <is>
          <t>Research &amp; Technical Analysis</t>
        </is>
      </c>
      <c r="F10" s="4" t="n">
        <v>175</v>
      </c>
      <c r="G10" s="5">
        <f>B10*F10</f>
        <v/>
      </c>
      <c r="H10" s="2" t="inlineStr">
        <is>
          <t>Tanner Beuret</t>
        </is>
      </c>
    </row>
    <row r="11">
      <c r="A11" s="2" t="inlineStr">
        <is>
          <t>2/26/2026</t>
        </is>
      </c>
      <c r="B11" s="3" t="n">
        <v>1.75</v>
      </c>
      <c r="C11" s="2" t="inlineStr">
        <is>
          <t>787200.12879-00</t>
        </is>
      </c>
      <c r="D11" s="2" t="inlineStr">
        <is>
          <t>GJC Brothers Inc.</t>
        </is>
      </c>
      <c r="E11" s="2" t="inlineStr">
        <is>
          <t>Report &amp; Spreadsheet</t>
        </is>
      </c>
      <c r="F11" s="4" t="n">
        <v>175</v>
      </c>
      <c r="G11" s="5">
        <f>B11*F11</f>
        <v/>
      </c>
      <c r="H11" s="2" t="inlineStr">
        <is>
          <t>Tanner Beuret</t>
        </is>
      </c>
    </row>
    <row r="12">
      <c r="A12" s="6" t="inlineStr">
        <is>
          <t>Subtotals</t>
        </is>
      </c>
      <c r="B12" s="7">
        <f>SUM(B2:B11)</f>
        <v/>
      </c>
      <c r="G12" s="8">
        <f>SUM(G2:G11)</f>
        <v/>
      </c>
    </row>
    <row r="14">
      <c r="D14" s="2" t="inlineStr">
        <is>
          <t>Mileage</t>
        </is>
      </c>
      <c r="E14" s="2" t="n">
        <v>0</v>
      </c>
      <c r="F14" s="9" t="n">
        <v>0.725</v>
      </c>
      <c r="G14" s="5">
        <f>PRODUCT(F14,E14)</f>
        <v/>
      </c>
    </row>
    <row r="15">
      <c r="F15" s="6" t="inlineStr">
        <is>
          <t>Total</t>
        </is>
      </c>
      <c r="G15" s="8">
        <f>G14+G12</f>
        <v/>
      </c>
    </row>
    <row r="17">
      <c r="A17" s="6" t="inlineStr">
        <is>
          <t>Adjuster</t>
        </is>
      </c>
      <c r="C17" s="6" t="inlineStr">
        <is>
          <t>Insured</t>
        </is>
      </c>
      <c r="D17" s="2" t="inlineStr">
        <is>
          <t>GJC Brothers Inc.</t>
        </is>
      </c>
    </row>
    <row r="18">
      <c r="A18" s="2" t="inlineStr">
        <is>
          <t>Ms. Tina Taveras</t>
        </is>
      </c>
      <c r="C18" s="6" t="inlineStr">
        <is>
          <t>Claim #:</t>
        </is>
      </c>
      <c r="D18" s="2" t="inlineStr">
        <is>
          <t>F0Q7816</t>
        </is>
      </c>
    </row>
    <row r="19">
      <c r="A19" s="2" t="inlineStr">
        <is>
          <t>Travelers Insurance</t>
        </is>
      </c>
      <c r="C19" s="6" t="inlineStr">
        <is>
          <t>Budget:</t>
        </is>
      </c>
      <c r="D19" s="4" t="n">
        <v>0</v>
      </c>
    </row>
    <row r="20">
      <c r="A20" s="2" t="inlineStr">
        <is>
          <t>PO Box 430</t>
        </is>
      </c>
    </row>
    <row r="21">
      <c r="A21" s="2" t="inlineStr">
        <is>
          <t>Buffalo, NY 14240</t>
        </is>
      </c>
    </row>
    <row r="22">
      <c r="A22" s="2" t="inlineStr">
        <is>
          <t>TTAVERAS@travelers.com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 NOT DELETE THIS WORK SHEET</t>
        </is>
      </c>
    </row>
    <row r="2">
      <c r="B2" t="inlineStr">
        <is>
          <t>ActivityTypes</t>
        </is>
      </c>
    </row>
    <row r="3">
      <c r="B3" t="inlineStr">
        <is>
          <t>Insured</t>
        </is>
      </c>
    </row>
    <row r="4">
      <c r="B4" t="inlineStr">
        <is>
          <t>Vendors</t>
        </is>
      </c>
    </row>
    <row r="5">
      <c r="B5" t="inlineStr">
        <is>
          <t>Research</t>
        </is>
      </c>
    </row>
    <row r="6">
      <c r="B6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2026-03-01T12:06:44Z</dcterms:created>
  <dcterms:modified xmlns:dcterms="http://purl.org/dc/terms/" xmlns:xsi="http://www.w3.org/2001/XMLSchema-instance" xsi:type="dcterms:W3CDTF">2026-03-01T12:06:44Z</dcterms:modified>
</cp:coreProperties>
</file>