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autoCompressPictures="0" defaultThemeVersion="124226"/>
  <mc:AlternateContent xmlns:mc="http://schemas.openxmlformats.org/markup-compatibility/2006">
    <mc:Choice Requires="x15">
      <x15ac:absPath xmlns:x15ac="http://schemas.microsoft.com/office/spreadsheetml/2010/11/ac" url="/Users/tannerbeuret/Desktop/Loss Solutins Group/Jobs/GJC Brothers Inc./"/>
    </mc:Choice>
  </mc:AlternateContent>
  <xr:revisionPtr revIDLastSave="0" documentId="13_ncr:2001_{0727ED26-6A36-0B41-A31C-C6E00DEC8FF9}" xr6:coauthVersionLast="47" xr6:coauthVersionMax="47" xr10:uidLastSave="{00000000-0000-0000-0000-000000000000}"/>
  <bookViews>
    <workbookView xWindow="4600" yWindow="2360" windowWidth="26480" windowHeight="15840" xr2:uid="{00000000-000D-0000-FFFF-FFFF00000000}"/>
  </bookViews>
  <sheets>
    <sheet name="Sheet1" sheetId="1" r:id="rId1"/>
    <sheet name="Sheet2" sheetId="2" r:id="rId2"/>
    <sheet name="Sheet3" sheetId="3" r:id="rId3"/>
  </sheets>
  <calcPr calcId="191028"/>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1" l="1"/>
  <c r="E38" i="1"/>
  <c r="E35" i="1"/>
  <c r="F21" i="1"/>
  <c r="E32" i="1"/>
  <c r="L19" i="1"/>
  <c r="H19" i="1"/>
  <c r="E19" i="1"/>
  <c r="L18" i="1"/>
  <c r="H18" i="1"/>
  <c r="E18" i="1"/>
  <c r="L17" i="1"/>
  <c r="H17" i="1"/>
  <c r="E17" i="1"/>
  <c r="L16" i="1"/>
  <c r="H16" i="1"/>
  <c r="E16" i="1"/>
  <c r="L15" i="1"/>
  <c r="H15" i="1"/>
  <c r="E15" i="1"/>
  <c r="L14" i="1"/>
  <c r="H14" i="1"/>
  <c r="E14" i="1"/>
  <c r="L13" i="1"/>
  <c r="H13" i="1"/>
  <c r="E13" i="1"/>
  <c r="H12" i="1"/>
  <c r="E12" i="1"/>
  <c r="H11" i="1"/>
  <c r="L20" i="1"/>
  <c r="L21" i="1"/>
  <c r="L22" i="1"/>
  <c r="L23" i="1"/>
  <c r="L24" i="1"/>
  <c r="L25" i="1"/>
  <c r="E21" i="1"/>
  <c r="H21" i="1"/>
  <c r="E22" i="1"/>
  <c r="H22" i="1"/>
  <c r="E23" i="1"/>
  <c r="H23" i="1"/>
  <c r="E24" i="1"/>
  <c r="H24" i="1"/>
  <c r="E25" i="1"/>
  <c r="H25" i="1"/>
  <c r="K25" i="1" s="1"/>
  <c r="E26" i="1"/>
  <c r="H26" i="1"/>
  <c r="E11" i="1"/>
  <c r="K26" i="1" l="1"/>
  <c r="M26" i="1" s="1"/>
  <c r="K24" i="1"/>
  <c r="K21" i="1"/>
  <c r="M21" i="1" s="1"/>
  <c r="K22" i="1"/>
  <c r="M22" i="1" s="1"/>
  <c r="K23" i="1"/>
  <c r="M23" i="1" s="1"/>
  <c r="K19" i="1"/>
  <c r="M19" i="1" s="1"/>
  <c r="K18" i="1"/>
  <c r="M18" i="1" s="1"/>
  <c r="K17" i="1"/>
  <c r="M17" i="1" s="1"/>
  <c r="K16" i="1"/>
  <c r="M16" i="1" s="1"/>
  <c r="K15" i="1"/>
  <c r="M15" i="1" s="1"/>
  <c r="K14" i="1"/>
  <c r="M14" i="1" s="1"/>
  <c r="K13" i="1"/>
  <c r="M13" i="1" s="1"/>
  <c r="K12" i="1"/>
  <c r="M12" i="1" s="1"/>
  <c r="K11" i="1"/>
  <c r="M25" i="1"/>
  <c r="M24" i="1"/>
  <c r="E20" i="1" l="1"/>
  <c r="H20" i="1"/>
  <c r="K20" i="1" s="1"/>
  <c r="E27" i="1" l="1"/>
  <c r="E29" i="1" s="1"/>
  <c r="M20" i="1"/>
  <c r="H27" i="1" l="1"/>
  <c r="H28" i="1" s="1"/>
  <c r="H29" i="1" s="1"/>
  <c r="K27" i="1"/>
  <c r="K28" i="1" s="1"/>
  <c r="K29" i="1" l="1"/>
  <c r="M28" i="1"/>
  <c r="M11" i="1"/>
  <c r="M27" i="1" s="1"/>
  <c r="M29" i="1" l="1"/>
</calcChain>
</file>

<file path=xl/sharedStrings.xml><?xml version="1.0" encoding="utf-8"?>
<sst xmlns="http://schemas.openxmlformats.org/spreadsheetml/2006/main" count="85" uniqueCount="60">
  <si>
    <t>COLOR DENOTES PRICING DISCREPANCY</t>
  </si>
  <si>
    <t xml:space="preserve">CAUSE OF LOSS: </t>
  </si>
  <si>
    <t>REF #</t>
  </si>
  <si>
    <t>ITEM</t>
  </si>
  <si>
    <t>CLAIM PRESENTED</t>
  </si>
  <si>
    <t>LSG RESEARCHED RCV</t>
  </si>
  <si>
    <t>AGE (YEARS)</t>
  </si>
  <si>
    <t>USEFUL LIFE (YEARS)</t>
  </si>
  <si>
    <t>ACV (MAX DEPRECIATION 75%)</t>
  </si>
  <si>
    <t>DEPRECIATION%</t>
  </si>
  <si>
    <t>DEPRECIATION</t>
  </si>
  <si>
    <t>CONDITION</t>
  </si>
  <si>
    <t>NOTES</t>
  </si>
  <si>
    <t>QTY</t>
  </si>
  <si>
    <t>UNIT COST</t>
  </si>
  <si>
    <t>TOTAL</t>
  </si>
  <si>
    <t>SUB-TOTAL</t>
  </si>
  <si>
    <t>SALES TAX</t>
  </si>
  <si>
    <t>TOTAL PRESENTED</t>
  </si>
  <si>
    <t>TOTAL RESEARCHED RCV</t>
  </si>
  <si>
    <t>TOTAL ACV</t>
  </si>
  <si>
    <t>TOTAL DEPRECIATION</t>
  </si>
  <si>
    <t>INSURED: GJC BROTHERS INC.</t>
  </si>
  <si>
    <t xml:space="preserve">LSG MATTER #: 787200.12879-00 </t>
  </si>
  <si>
    <t>CLAIM #: F0Q7816</t>
  </si>
  <si>
    <t>DATE OF LOSS: 2/5/2026</t>
  </si>
  <si>
    <t>365 LABOR CHARGES LABOR CHARGES</t>
  </si>
  <si>
    <t>MISC MISCELLANEOUS CHARGES</t>
  </si>
  <si>
    <t>NOZZLE WLDT/FAN,SLD,STATIC</t>
  </si>
  <si>
    <t>HOSE/FLEXIBLE,12"IDX12"LG</t>
  </si>
  <si>
    <t>NOZZLE WLDT/FAN,SLIMLINE,RIGHT</t>
  </si>
  <si>
    <t>WIRE MESH/304SS,1/2",13X13</t>
  </si>
  <si>
    <t>CLAMP/WORM GEAR,9-7/16 - 12.25</t>
  </si>
  <si>
    <t>CLAMP/WORM GEAR,10-1/8" TO 13"</t>
  </si>
  <si>
    <t>HOSE/AIR,3/8"ID,BLK RUBBER</t>
  </si>
  <si>
    <t>SLEEVE/FLEX,NEO,5"X10-15/32"ID</t>
  </si>
  <si>
    <t>BUSHING/PLS,FAN NOZZLE MOUNT</t>
  </si>
  <si>
    <t>NUT/LOCK,THIN,3/8-16NC,NYL INS</t>
  </si>
  <si>
    <t>FASCIA&amp;LABEL/PLS,SLD,BLUE-GRN</t>
  </si>
  <si>
    <t>N/A</t>
  </si>
  <si>
    <t>ONE FULL DAY OF WORK FOR TECHNICIAN.</t>
  </si>
  <si>
    <t>MISCELLANEOUS OTHER EQUIPMENT. TAPE, PIPE SEALANT, GLUE, CAULKING, ETC.</t>
  </si>
  <si>
    <t>AVERAGE</t>
  </si>
  <si>
    <t>SERVICE CHARGE (FLAT RATE)</t>
  </si>
  <si>
    <t>FAN NOZZLE BRACKET/MOUNT/RETAINER.</t>
  </si>
  <si>
    <t>RIGHT SIDE FAN NOZZLE</t>
  </si>
  <si>
    <t>WORM CLAMP/GEAR 9-7/16" - 12.25"</t>
  </si>
  <si>
    <t>FLEXIBLE SLEEVE.</t>
  </si>
  <si>
    <t>FAN NOZZLE MOUNTING HARDWARE</t>
  </si>
  <si>
    <t>HARDWARE: NUTS AND LOCK NUTS 3/8"</t>
  </si>
  <si>
    <t>WHITE AIR DRYER EXIT FASCIA</t>
  </si>
  <si>
    <t>FUEL CHARGE / SUR CHARGE.</t>
  </si>
  <si>
    <t>WIRE MESH FOR FAN SAFETY. (13 INCHES X 13 INCHES)</t>
  </si>
  <si>
    <t>STATIC FAN NOZZLE BRACKET.</t>
  </si>
  <si>
    <t>NATIONAL CARWASH SOLUTIONS, INC. (515-986-3700) QUOTE # QUO-6057</t>
  </si>
  <si>
    <t>BLACK RUBBER HOSE / AIR LINE. (288 INCHES OR 24FEET) (WHEN SPEAKING WITH THE VENDOR HE STATED THAT THE AMOUNT SHOWN "288" IS IN INCHES AND SHOULD BE IN FEET. AND THAT IT WAS THEIR MISTAKE AND THE COST SHOULD BE LESS THAN WHAT IS PRESENTED. LSG FOUND A COST DIFFERENCE BETWEEN THE COST PER FOOT ($40/50FT = 0.8 $/FT)</t>
  </si>
  <si>
    <t xml:space="preserve">FUEL CHARGE FUEL SUR CHARGE </t>
  </si>
  <si>
    <t>365 FLAT RATE FLAT RATE CHARGE</t>
  </si>
  <si>
    <t>BRACKET/RETAINER, FAN NOZZLE MT</t>
  </si>
  <si>
    <t>FLEXIBLE 12" INSIDE DIAMETER 1 FOOT LONG FAN HOSE.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</si>
</sst>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9" x14ac:knownFonts="1">
    <font>
      <sz val="10"/>
      <name val="Arial"/>
    </font>
    <font>
      <sz val="8"/>
      <name val="Arial"/>
      <family val="2"/>
    </font>
    <font>
      <sz val="10"/>
      <name val="Arial"/>
      <family val="2"/>
    </font>
    <font>
      <u/>
      <sz val="10"/>
      <color theme="10"/>
      <name val="Arial"/>
      <family val="2"/>
    </font>
    <font>
      <u/>
      <sz val="10"/>
      <color theme="11"/>
      <name val="Arial"/>
      <family val="2"/>
    </font>
    <font>
      <sz val="10"/>
      <name val="Arial"/>
      <family val="2"/>
    </font>
    <font>
      <b/>
      <sz val="12"/>
      <name val="Arial"/>
      <family val="2"/>
    </font>
    <font>
      <sz val="12"/>
      <name val="Arial"/>
      <family val="2"/>
    </font>
    <font>
      <b/>
      <sz val="12"/>
      <color indexed="8"/>
      <name val="Arial"/>
      <family val="2"/>
    </font>
  </fonts>
  <fills count="6">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6" tint="0.39997558519241921"/>
        <bgColor indexed="64"/>
      </patternFill>
    </fill>
  </fills>
  <borders count="25">
    <border>
      <left/>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style="medium">
        <color auto="1"/>
      </right>
      <top style="medium">
        <color auto="1"/>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2"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9" fontId="5" fillId="0" borderId="0" applyFont="0" applyFill="0" applyBorder="0" applyAlignment="0" applyProtection="0"/>
  </cellStyleXfs>
  <cellXfs count="117">
    <xf numFmtId="0" fontId="0" fillId="0" borderId="0" xfId="0"/>
    <xf numFmtId="0" fontId="6" fillId="0" borderId="0" xfId="0" applyFont="1" applyAlignment="1">
      <alignment horizontal="center"/>
    </xf>
    <xf numFmtId="0" fontId="6" fillId="0" borderId="0" xfId="0" applyFont="1"/>
    <xf numFmtId="0" fontId="7" fillId="0" borderId="0" xfId="0" applyFont="1"/>
    <xf numFmtId="0" fontId="6" fillId="0" borderId="0" xfId="0" applyFont="1" applyAlignment="1">
      <alignment horizontal="center" wrapText="1"/>
    </xf>
    <xf numFmtId="0" fontId="7" fillId="0" borderId="0" xfId="0" applyFont="1" applyAlignment="1">
      <alignment horizontal="center"/>
    </xf>
    <xf numFmtId="0" fontId="6" fillId="0" borderId="0" xfId="0" applyFont="1" applyAlignment="1">
      <alignment vertical="center"/>
    </xf>
    <xf numFmtId="14" fontId="6" fillId="0" borderId="0" xfId="0" applyNumberFormat="1" applyFont="1" applyAlignment="1">
      <alignment horizontal="center"/>
    </xf>
    <xf numFmtId="0" fontId="6" fillId="0" borderId="0" xfId="0" applyFont="1" applyAlignment="1">
      <alignment horizontal="center" vertical="center"/>
    </xf>
    <xf numFmtId="0" fontId="7" fillId="0" borderId="0" xfId="0" applyFont="1" applyAlignment="1">
      <alignment horizontal="left" wrapText="1"/>
    </xf>
    <xf numFmtId="0" fontId="7" fillId="0" borderId="0" xfId="0" applyFont="1" applyAlignment="1">
      <alignment vertical="center"/>
    </xf>
    <xf numFmtId="0" fontId="6" fillId="3" borderId="12" xfId="0" applyFont="1" applyFill="1" applyBorder="1" applyAlignment="1">
      <alignment horizontal="center" vertical="center" wrapText="1"/>
    </xf>
    <xf numFmtId="0" fontId="6" fillId="3" borderId="12" xfId="0" applyFont="1" applyFill="1" applyBorder="1" applyAlignment="1">
      <alignment horizontal="center" vertical="center"/>
    </xf>
    <xf numFmtId="164" fontId="6" fillId="3" borderId="12" xfId="0" applyNumberFormat="1" applyFont="1" applyFill="1" applyBorder="1" applyAlignment="1">
      <alignment horizontal="center" vertical="center" wrapText="1"/>
    </xf>
    <xf numFmtId="44" fontId="6" fillId="2" borderId="13" xfId="1" applyFont="1" applyFill="1" applyBorder="1" applyAlignment="1">
      <alignment horizontal="center" vertical="center"/>
    </xf>
    <xf numFmtId="0" fontId="6" fillId="2" borderId="1" xfId="1" applyNumberFormat="1" applyFont="1" applyFill="1" applyBorder="1" applyAlignment="1"/>
    <xf numFmtId="0" fontId="6" fillId="2" borderId="2" xfId="1" applyNumberFormat="1" applyFont="1" applyFill="1" applyBorder="1" applyAlignment="1"/>
    <xf numFmtId="44" fontId="6" fillId="2" borderId="13" xfId="1" applyFont="1" applyFill="1" applyBorder="1" applyAlignment="1"/>
    <xf numFmtId="44" fontId="6" fillId="2" borderId="13" xfId="1" applyFont="1" applyFill="1" applyBorder="1" applyAlignment="1">
      <alignment horizontal="right"/>
    </xf>
    <xf numFmtId="44" fontId="7" fillId="2" borderId="15" xfId="1" applyFont="1" applyFill="1" applyBorder="1" applyAlignment="1"/>
    <xf numFmtId="44" fontId="7" fillId="2" borderId="7" xfId="1" applyFont="1" applyFill="1" applyBorder="1" applyAlignment="1"/>
    <xf numFmtId="44" fontId="7" fillId="2" borderId="9" xfId="1" applyFont="1" applyFill="1" applyBorder="1" applyAlignment="1"/>
    <xf numFmtId="44" fontId="7" fillId="0" borderId="15" xfId="1" applyFont="1" applyFill="1" applyBorder="1" applyAlignment="1">
      <alignment horizontal="right"/>
    </xf>
    <xf numFmtId="44" fontId="6" fillId="2" borderId="15" xfId="1" applyFont="1" applyFill="1" applyBorder="1" applyAlignment="1"/>
    <xf numFmtId="44" fontId="6" fillId="2" borderId="7" xfId="1" applyFont="1" applyFill="1" applyBorder="1" applyAlignment="1"/>
    <xf numFmtId="44" fontId="6" fillId="2" borderId="9" xfId="1" applyFont="1" applyFill="1" applyBorder="1" applyAlignment="1"/>
    <xf numFmtId="44" fontId="6" fillId="2" borderId="15" xfId="1" applyFont="1" applyFill="1" applyBorder="1" applyAlignment="1">
      <alignment horizontal="right"/>
    </xf>
    <xf numFmtId="44" fontId="7" fillId="0" borderId="0" xfId="0" applyNumberFormat="1" applyFont="1" applyAlignment="1">
      <alignment horizontal="center"/>
    </xf>
    <xf numFmtId="0" fontId="7" fillId="2" borderId="16" xfId="0" applyFont="1" applyFill="1" applyBorder="1" applyAlignment="1">
      <alignment horizontal="center"/>
    </xf>
    <xf numFmtId="0" fontId="7" fillId="2" borderId="16" xfId="0" applyFont="1" applyFill="1" applyBorder="1" applyAlignment="1">
      <alignment horizontal="left" wrapText="1"/>
    </xf>
    <xf numFmtId="44" fontId="7" fillId="2" borderId="16" xfId="1" applyFont="1" applyFill="1" applyBorder="1" applyAlignment="1">
      <alignment horizontal="center"/>
    </xf>
    <xf numFmtId="0" fontId="7" fillId="2" borderId="16" xfId="1" applyNumberFormat="1" applyFont="1" applyFill="1" applyBorder="1" applyAlignment="1">
      <alignment horizontal="center"/>
    </xf>
    <xf numFmtId="9" fontId="7" fillId="2" borderId="16" xfId="6" applyFont="1" applyFill="1" applyBorder="1" applyAlignment="1">
      <alignment horizontal="center"/>
    </xf>
    <xf numFmtId="0" fontId="7" fillId="2" borderId="16" xfId="1" applyNumberFormat="1" applyFont="1" applyFill="1" applyBorder="1" applyAlignment="1">
      <alignment horizontal="center" wrapText="1"/>
    </xf>
    <xf numFmtId="0" fontId="7" fillId="0" borderId="16" xfId="0" applyFont="1" applyBorder="1" applyAlignment="1">
      <alignment horizontal="left" wrapText="1"/>
    </xf>
    <xf numFmtId="44" fontId="7" fillId="0" borderId="16" xfId="1" applyFont="1" applyFill="1" applyBorder="1" applyAlignment="1">
      <alignment horizontal="center"/>
    </xf>
    <xf numFmtId="0" fontId="7" fillId="0" borderId="16" xfId="1" applyNumberFormat="1" applyFont="1" applyFill="1" applyBorder="1" applyAlignment="1">
      <alignment horizontal="center"/>
    </xf>
    <xf numFmtId="0" fontId="7" fillId="0" borderId="16" xfId="1" applyNumberFormat="1" applyFont="1" applyFill="1" applyBorder="1" applyAlignment="1">
      <alignment horizontal="center" wrapText="1"/>
    </xf>
    <xf numFmtId="0" fontId="7" fillId="4" borderId="16" xfId="0" applyFont="1" applyFill="1" applyBorder="1" applyAlignment="1">
      <alignment horizontal="center"/>
    </xf>
    <xf numFmtId="0" fontId="7" fillId="4" borderId="16" xfId="0" applyFont="1" applyFill="1" applyBorder="1" applyAlignment="1">
      <alignment horizontal="left" wrapText="1"/>
    </xf>
    <xf numFmtId="44" fontId="7" fillId="4" borderId="16" xfId="1" applyFont="1" applyFill="1" applyBorder="1" applyAlignment="1">
      <alignment horizontal="center"/>
    </xf>
    <xf numFmtId="0" fontId="7" fillId="4" borderId="16" xfId="1" applyNumberFormat="1" applyFont="1" applyFill="1" applyBorder="1" applyAlignment="1">
      <alignment horizontal="center"/>
    </xf>
    <xf numFmtId="9" fontId="7" fillId="4" borderId="16" xfId="6" applyFont="1" applyFill="1" applyBorder="1" applyAlignment="1">
      <alignment horizontal="center"/>
    </xf>
    <xf numFmtId="0" fontId="7" fillId="4" borderId="16" xfId="1" applyNumberFormat="1" applyFont="1" applyFill="1" applyBorder="1" applyAlignment="1">
      <alignment horizontal="center" wrapText="1"/>
    </xf>
    <xf numFmtId="0" fontId="7" fillId="2" borderId="17" xfId="0" applyFont="1" applyFill="1" applyBorder="1" applyAlignment="1">
      <alignment horizontal="center"/>
    </xf>
    <xf numFmtId="0" fontId="7" fillId="2" borderId="18" xfId="0" applyFont="1" applyFill="1" applyBorder="1" applyAlignment="1">
      <alignment horizontal="left" wrapText="1"/>
    </xf>
    <xf numFmtId="0" fontId="7" fillId="2" borderId="18" xfId="0" applyFont="1" applyFill="1" applyBorder="1" applyAlignment="1">
      <alignment horizontal="center"/>
    </xf>
    <xf numFmtId="44" fontId="7" fillId="2" borderId="18" xfId="1" applyFont="1" applyFill="1" applyBorder="1" applyAlignment="1">
      <alignment horizontal="center"/>
    </xf>
    <xf numFmtId="0" fontId="7" fillId="2" borderId="18" xfId="1" applyNumberFormat="1" applyFont="1" applyFill="1" applyBorder="1" applyAlignment="1">
      <alignment horizontal="center"/>
    </xf>
    <xf numFmtId="9" fontId="7" fillId="2" borderId="18" xfId="6" applyFont="1" applyFill="1" applyBorder="1" applyAlignment="1">
      <alignment horizontal="center"/>
    </xf>
    <xf numFmtId="0" fontId="7" fillId="2" borderId="18" xfId="1" applyNumberFormat="1" applyFont="1" applyFill="1" applyBorder="1" applyAlignment="1">
      <alignment horizontal="center" wrapText="1"/>
    </xf>
    <xf numFmtId="0" fontId="7" fillId="2" borderId="19" xfId="0" applyFont="1" applyFill="1" applyBorder="1" applyAlignment="1">
      <alignment horizontal="left" wrapText="1"/>
    </xf>
    <xf numFmtId="0" fontId="7" fillId="0" borderId="20" xfId="0" applyFont="1" applyBorder="1" applyAlignment="1">
      <alignment horizontal="center"/>
    </xf>
    <xf numFmtId="0" fontId="7" fillId="0" borderId="21" xfId="0" applyFont="1" applyBorder="1" applyAlignment="1">
      <alignment horizontal="left" wrapText="1"/>
    </xf>
    <xf numFmtId="0" fontId="7" fillId="2" borderId="20" xfId="0" applyFont="1" applyFill="1" applyBorder="1" applyAlignment="1">
      <alignment horizontal="center"/>
    </xf>
    <xf numFmtId="0" fontId="7" fillId="2" borderId="21" xfId="0" applyFont="1" applyFill="1" applyBorder="1" applyAlignment="1">
      <alignment horizontal="left" wrapText="1"/>
    </xf>
    <xf numFmtId="0" fontId="7" fillId="4" borderId="20" xfId="0" applyFont="1" applyFill="1" applyBorder="1" applyAlignment="1">
      <alignment horizontal="center"/>
    </xf>
    <xf numFmtId="0" fontId="7" fillId="4" borderId="21" xfId="0" applyFont="1" applyFill="1" applyBorder="1" applyAlignment="1">
      <alignment horizontal="left" wrapText="1"/>
    </xf>
    <xf numFmtId="0" fontId="7" fillId="0" borderId="22" xfId="0" applyFont="1" applyBorder="1" applyAlignment="1">
      <alignment horizontal="center"/>
    </xf>
    <xf numFmtId="0" fontId="7" fillId="0" borderId="23" xfId="0" applyFont="1" applyBorder="1" applyAlignment="1">
      <alignment horizontal="left" wrapText="1"/>
    </xf>
    <xf numFmtId="0" fontId="7" fillId="2" borderId="23" xfId="0" applyFont="1" applyFill="1" applyBorder="1" applyAlignment="1">
      <alignment horizontal="center"/>
    </xf>
    <xf numFmtId="44" fontId="7" fillId="0" borderId="23" xfId="1" applyFont="1" applyFill="1" applyBorder="1" applyAlignment="1">
      <alignment horizontal="center"/>
    </xf>
    <xf numFmtId="0" fontId="7" fillId="0" borderId="23" xfId="1" applyNumberFormat="1" applyFont="1" applyFill="1" applyBorder="1" applyAlignment="1">
      <alignment horizontal="center"/>
    </xf>
    <xf numFmtId="44" fontId="7" fillId="2" borderId="23" xfId="1" applyFont="1" applyFill="1" applyBorder="1" applyAlignment="1">
      <alignment horizontal="center"/>
    </xf>
    <xf numFmtId="9" fontId="7" fillId="2" borderId="23" xfId="6" applyFont="1" applyFill="1" applyBorder="1" applyAlignment="1">
      <alignment horizontal="center"/>
    </xf>
    <xf numFmtId="0" fontId="7" fillId="0" borderId="23" xfId="1" applyNumberFormat="1" applyFont="1" applyFill="1" applyBorder="1" applyAlignment="1">
      <alignment horizontal="center" wrapText="1"/>
    </xf>
    <xf numFmtId="0" fontId="7" fillId="0" borderId="24" xfId="0" applyFont="1" applyBorder="1" applyAlignment="1">
      <alignment horizontal="left" wrapText="1"/>
    </xf>
    <xf numFmtId="0" fontId="7" fillId="0" borderId="16" xfId="0" applyFont="1" applyBorder="1" applyAlignment="1">
      <alignment horizontal="center"/>
    </xf>
    <xf numFmtId="9" fontId="7" fillId="0" borderId="16" xfId="6" applyFont="1" applyFill="1" applyBorder="1" applyAlignment="1">
      <alignment horizontal="center"/>
    </xf>
    <xf numFmtId="2" fontId="7" fillId="0" borderId="15" xfId="1" applyNumberFormat="1" applyFont="1" applyFill="1" applyBorder="1" applyAlignment="1">
      <alignment horizontal="right"/>
    </xf>
    <xf numFmtId="0" fontId="6" fillId="3" borderId="3"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 xfId="0" applyFont="1" applyFill="1" applyBorder="1" applyAlignment="1">
      <alignment horizontal="center" vertical="center"/>
    </xf>
    <xf numFmtId="44" fontId="6" fillId="0" borderId="12" xfId="0" applyNumberFormat="1" applyFont="1" applyBorder="1" applyAlignment="1">
      <alignment horizontal="center" vertical="center"/>
    </xf>
    <xf numFmtId="44" fontId="6" fillId="0" borderId="13" xfId="0" applyNumberFormat="1" applyFont="1" applyBorder="1" applyAlignment="1">
      <alignment horizontal="center" vertical="center"/>
    </xf>
    <xf numFmtId="0" fontId="6" fillId="0" borderId="13" xfId="0" applyFont="1" applyBorder="1" applyAlignment="1">
      <alignment horizontal="center" vertical="center"/>
    </xf>
    <xf numFmtId="0" fontId="6" fillId="0" borderId="3" xfId="0" applyFont="1" applyBorder="1" applyAlignment="1">
      <alignment horizontal="left"/>
    </xf>
    <xf numFmtId="0" fontId="6" fillId="0" borderId="10" xfId="0" applyFont="1" applyBorder="1" applyAlignment="1">
      <alignment horizontal="left"/>
    </xf>
    <xf numFmtId="0" fontId="6" fillId="0" borderId="4" xfId="0" applyFont="1" applyBorder="1" applyAlignment="1">
      <alignment horizontal="left"/>
    </xf>
    <xf numFmtId="0" fontId="6" fillId="0" borderId="5" xfId="0" applyFont="1" applyBorder="1" applyAlignment="1">
      <alignment horizontal="left"/>
    </xf>
    <xf numFmtId="0" fontId="6" fillId="0" borderId="0" xfId="0" applyFont="1" applyAlignment="1">
      <alignment horizontal="left"/>
    </xf>
    <xf numFmtId="0" fontId="6" fillId="0" borderId="6" xfId="0" applyFont="1" applyBorder="1" applyAlignment="1">
      <alignment horizontal="left"/>
    </xf>
    <xf numFmtId="0" fontId="6" fillId="0" borderId="1" xfId="0" applyFont="1" applyBorder="1" applyAlignment="1">
      <alignment horizontal="left"/>
    </xf>
    <xf numFmtId="0" fontId="6" fillId="0" borderId="11" xfId="0" applyFont="1" applyBorder="1" applyAlignment="1">
      <alignment horizontal="left"/>
    </xf>
    <xf numFmtId="0" fontId="6" fillId="0" borderId="2" xfId="0" applyFont="1" applyBorder="1" applyAlignment="1">
      <alignment horizontal="left"/>
    </xf>
    <xf numFmtId="0" fontId="6" fillId="4" borderId="3" xfId="0" applyFont="1" applyFill="1" applyBorder="1" applyAlignment="1">
      <alignment horizontal="center" wrapText="1"/>
    </xf>
    <xf numFmtId="0" fontId="6" fillId="4" borderId="4" xfId="0" applyFont="1" applyFill="1" applyBorder="1" applyAlignment="1">
      <alignment horizontal="center" wrapText="1"/>
    </xf>
    <xf numFmtId="0" fontId="6" fillId="4" borderId="1" xfId="0" applyFont="1" applyFill="1" applyBorder="1" applyAlignment="1">
      <alignment horizontal="center" wrapText="1"/>
    </xf>
    <xf numFmtId="0" fontId="6" fillId="4" borderId="2" xfId="0" applyFont="1" applyFill="1" applyBorder="1" applyAlignment="1">
      <alignment horizontal="center" wrapText="1"/>
    </xf>
    <xf numFmtId="0" fontId="6" fillId="0" borderId="0" xfId="0" applyFont="1" applyAlignment="1">
      <alignment horizont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2"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4" xfId="0" applyFont="1" applyFill="1" applyBorder="1" applyAlignment="1">
      <alignment horizontal="center" vertical="center"/>
    </xf>
    <xf numFmtId="0" fontId="8" fillId="0" borderId="1" xfId="0" applyFont="1" applyBorder="1" applyAlignment="1">
      <alignment horizontal="left"/>
    </xf>
    <xf numFmtId="0" fontId="8" fillId="0" borderId="11" xfId="0" applyFont="1" applyBorder="1" applyAlignment="1">
      <alignment horizontal="left"/>
    </xf>
    <xf numFmtId="0" fontId="8" fillId="0" borderId="2" xfId="0" applyFont="1" applyBorder="1" applyAlignment="1">
      <alignment horizontal="left"/>
    </xf>
    <xf numFmtId="0" fontId="6" fillId="2" borderId="1" xfId="1" applyNumberFormat="1" applyFont="1" applyFill="1" applyBorder="1" applyAlignment="1">
      <alignment horizontal="center"/>
    </xf>
    <xf numFmtId="0" fontId="6" fillId="2" borderId="2" xfId="1" applyNumberFormat="1" applyFont="1" applyFill="1" applyBorder="1" applyAlignment="1">
      <alignment horizontal="center"/>
    </xf>
    <xf numFmtId="164" fontId="6" fillId="3" borderId="12" xfId="0" applyNumberFormat="1" applyFont="1" applyFill="1" applyBorder="1" applyAlignment="1">
      <alignment horizontal="center" vertical="center" wrapText="1"/>
    </xf>
    <xf numFmtId="164" fontId="6" fillId="3" borderId="14" xfId="0" applyNumberFormat="1" applyFont="1" applyFill="1" applyBorder="1" applyAlignment="1">
      <alignment horizontal="center" vertical="center" wrapText="1"/>
    </xf>
    <xf numFmtId="0" fontId="8" fillId="0" borderId="7" xfId="0" applyFont="1" applyBorder="1" applyAlignment="1">
      <alignment horizontal="left"/>
    </xf>
    <xf numFmtId="0" fontId="8" fillId="0" borderId="8" xfId="0" applyFont="1" applyBorder="1" applyAlignment="1">
      <alignment horizontal="left"/>
    </xf>
    <xf numFmtId="0" fontId="8" fillId="0" borderId="9" xfId="0" applyFont="1" applyBorder="1" applyAlignment="1">
      <alignment horizontal="left"/>
    </xf>
    <xf numFmtId="0" fontId="7" fillId="2" borderId="7" xfId="1" applyNumberFormat="1" applyFont="1" applyFill="1" applyBorder="1" applyAlignment="1">
      <alignment horizontal="center"/>
    </xf>
    <xf numFmtId="0" fontId="7" fillId="2" borderId="9" xfId="1" applyNumberFormat="1" applyFont="1" applyFill="1" applyBorder="1" applyAlignment="1">
      <alignment horizontal="center"/>
    </xf>
    <xf numFmtId="0" fontId="6" fillId="2" borderId="7" xfId="1" applyNumberFormat="1" applyFont="1" applyFill="1" applyBorder="1" applyAlignment="1">
      <alignment horizontal="center"/>
    </xf>
    <xf numFmtId="0" fontId="6" fillId="2" borderId="9" xfId="1" applyNumberFormat="1" applyFont="1" applyFill="1" applyBorder="1" applyAlignment="1">
      <alignment horizontal="center"/>
    </xf>
  </cellXfs>
  <cellStyles count="7">
    <cellStyle name="Currency" xfId="1" builtinId="4"/>
    <cellStyle name="Followed Hyperlink" xfId="3" builtinId="9" hidden="1"/>
    <cellStyle name="Followed Hyperlink" xfId="5" builtinId="9" hidden="1"/>
    <cellStyle name="Hyperlink" xfId="2" builtinId="8" hidden="1"/>
    <cellStyle name="Hyperlink" xfId="4" builtinId="8" hidden="1"/>
    <cellStyle name="Normal" xfId="0" builtinId="0"/>
    <cellStyle name="Percent" xfId="6"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42"/>
  <sheetViews>
    <sheetView tabSelected="1" topLeftCell="A20" zoomScale="80" zoomScaleNormal="80" zoomScalePageLayoutView="90" workbookViewId="0">
      <selection activeCell="B23" sqref="B23"/>
    </sheetView>
  </sheetViews>
  <sheetFormatPr baseColWidth="10" defaultColWidth="8.83203125" defaultRowHeight="16" x14ac:dyDescent="0.2"/>
  <cols>
    <col min="1" max="1" width="5.6640625" style="3" customWidth="1"/>
    <col min="2" max="2" width="20.6640625" style="3" customWidth="1"/>
    <col min="3" max="3" width="5.6640625" style="5" customWidth="1"/>
    <col min="4" max="5" width="17.6640625" style="5" customWidth="1"/>
    <col min="6" max="6" width="5.6640625" style="5" customWidth="1"/>
    <col min="7" max="8" width="17.6640625" style="5" customWidth="1"/>
    <col min="9" max="10" width="9.6640625" style="5" customWidth="1"/>
    <col min="11" max="13" width="17.6640625" style="5" customWidth="1"/>
    <col min="14" max="14" width="13.6640625" style="5" customWidth="1"/>
    <col min="15" max="15" width="47.6640625" style="9" customWidth="1"/>
    <col min="16" max="17" width="8.83203125" style="3"/>
    <col min="18" max="18" width="9.6640625" style="3" bestFit="1" customWidth="1"/>
    <col min="19" max="16384" width="8.83203125" style="3"/>
  </cols>
  <sheetData>
    <row r="1" spans="1:18" ht="15.75" customHeight="1" x14ac:dyDescent="0.2">
      <c r="A1" s="79" t="s">
        <v>22</v>
      </c>
      <c r="B1" s="80"/>
      <c r="C1" s="80"/>
      <c r="D1" s="80"/>
      <c r="E1" s="81"/>
      <c r="F1" s="1"/>
      <c r="G1"/>
      <c r="H1"/>
      <c r="I1"/>
      <c r="J1" s="1"/>
      <c r="K1" s="1"/>
      <c r="L1" s="1"/>
      <c r="M1" s="1"/>
      <c r="N1" s="1"/>
      <c r="O1" s="2"/>
      <c r="P1" s="2"/>
    </row>
    <row r="2" spans="1:18" ht="15.75" customHeight="1" x14ac:dyDescent="0.2">
      <c r="A2" s="82" t="s">
        <v>23</v>
      </c>
      <c r="B2" s="83"/>
      <c r="C2" s="83"/>
      <c r="D2" s="83"/>
      <c r="E2" s="84"/>
      <c r="F2" s="1"/>
      <c r="G2"/>
      <c r="H2"/>
      <c r="I2"/>
      <c r="J2" s="1"/>
      <c r="K2" s="1"/>
      <c r="M2" s="1"/>
      <c r="N2" s="1"/>
      <c r="O2" s="2"/>
      <c r="P2" s="2"/>
    </row>
    <row r="3" spans="1:18" ht="15.75" customHeight="1" x14ac:dyDescent="0.2">
      <c r="A3" s="82" t="s">
        <v>24</v>
      </c>
      <c r="B3" s="83"/>
      <c r="C3" s="83"/>
      <c r="D3" s="83"/>
      <c r="E3" s="84"/>
      <c r="F3" s="1"/>
      <c r="G3" s="4"/>
      <c r="H3" s="4"/>
      <c r="I3" s="4"/>
      <c r="J3" s="1"/>
      <c r="K3" s="1"/>
      <c r="L3"/>
      <c r="M3" s="1"/>
      <c r="N3" s="1"/>
      <c r="O3" s="6"/>
      <c r="P3" s="6"/>
    </row>
    <row r="4" spans="1:18" ht="15.75" customHeight="1" x14ac:dyDescent="0.2">
      <c r="A4" s="82" t="s">
        <v>25</v>
      </c>
      <c r="B4" s="83"/>
      <c r="C4" s="83"/>
      <c r="D4" s="83"/>
      <c r="E4" s="84"/>
      <c r="F4" s="7"/>
      <c r="G4" s="88" t="s">
        <v>0</v>
      </c>
      <c r="H4" s="89"/>
      <c r="I4" s="4"/>
      <c r="J4" s="8"/>
      <c r="K4" s="8"/>
      <c r="L4" s="1"/>
      <c r="O4" s="3"/>
    </row>
    <row r="5" spans="1:18" ht="15.75" customHeight="1" x14ac:dyDescent="0.2">
      <c r="A5" s="85" t="s">
        <v>1</v>
      </c>
      <c r="B5" s="86"/>
      <c r="C5" s="86"/>
      <c r="D5" s="86"/>
      <c r="E5" s="87"/>
      <c r="F5" s="1"/>
      <c r="G5" s="90"/>
      <c r="H5" s="91"/>
      <c r="I5" s="4"/>
      <c r="J5" s="1"/>
      <c r="K5" s="1"/>
      <c r="L5" s="1"/>
      <c r="O5" s="3"/>
    </row>
    <row r="8" spans="1:18" s="10" customFormat="1" ht="25.5" customHeight="1" x14ac:dyDescent="0.15">
      <c r="A8" s="98" t="s">
        <v>54</v>
      </c>
      <c r="B8" s="99"/>
      <c r="C8" s="99"/>
      <c r="D8" s="99"/>
      <c r="E8" s="99"/>
      <c r="F8" s="99"/>
      <c r="G8" s="99"/>
      <c r="H8" s="99"/>
      <c r="I8" s="99"/>
      <c r="J8" s="99"/>
      <c r="K8" s="99"/>
      <c r="L8" s="99"/>
      <c r="M8" s="99"/>
      <c r="N8" s="99"/>
      <c r="O8" s="100"/>
    </row>
    <row r="9" spans="1:18" ht="24" customHeight="1" x14ac:dyDescent="0.2">
      <c r="A9" s="96" t="s">
        <v>2</v>
      </c>
      <c r="B9" s="101" t="s">
        <v>3</v>
      </c>
      <c r="C9" s="93" t="s">
        <v>4</v>
      </c>
      <c r="D9" s="94"/>
      <c r="E9" s="95"/>
      <c r="F9" s="93" t="s">
        <v>5</v>
      </c>
      <c r="G9" s="94"/>
      <c r="H9" s="95"/>
      <c r="I9" s="108" t="s">
        <v>6</v>
      </c>
      <c r="J9" s="108" t="s">
        <v>7</v>
      </c>
      <c r="K9" s="108" t="s">
        <v>8</v>
      </c>
      <c r="L9" s="108" t="s">
        <v>9</v>
      </c>
      <c r="M9" s="108" t="s">
        <v>10</v>
      </c>
      <c r="N9" s="108" t="s">
        <v>11</v>
      </c>
      <c r="O9" s="96" t="s">
        <v>12</v>
      </c>
    </row>
    <row r="10" spans="1:18" s="5" customFormat="1" ht="24" customHeight="1" thickBot="1" x14ac:dyDescent="0.25">
      <c r="A10" s="97"/>
      <c r="B10" s="102"/>
      <c r="C10" s="12" t="s">
        <v>13</v>
      </c>
      <c r="D10" s="11" t="s">
        <v>14</v>
      </c>
      <c r="E10" s="13" t="s">
        <v>15</v>
      </c>
      <c r="F10" s="13" t="s">
        <v>13</v>
      </c>
      <c r="G10" s="13" t="s">
        <v>14</v>
      </c>
      <c r="H10" s="13" t="s">
        <v>15</v>
      </c>
      <c r="I10" s="109"/>
      <c r="J10" s="109"/>
      <c r="K10" s="109"/>
      <c r="L10" s="109"/>
      <c r="M10" s="109"/>
      <c r="N10" s="109"/>
      <c r="O10" s="97"/>
    </row>
    <row r="11" spans="1:18" s="5" customFormat="1" ht="65" customHeight="1" x14ac:dyDescent="0.2">
      <c r="A11" s="44">
        <v>1</v>
      </c>
      <c r="B11" s="45" t="s">
        <v>26</v>
      </c>
      <c r="C11" s="46">
        <v>8</v>
      </c>
      <c r="D11" s="47">
        <v>180</v>
      </c>
      <c r="E11" s="47">
        <f>C11*D11</f>
        <v>1440</v>
      </c>
      <c r="F11" s="46">
        <v>8</v>
      </c>
      <c r="G11" s="47">
        <v>180</v>
      </c>
      <c r="H11" s="47">
        <f t="shared" ref="H11:H26" si="0">F11*G11</f>
        <v>1440</v>
      </c>
      <c r="I11" s="48" t="s">
        <v>39</v>
      </c>
      <c r="J11" s="48" t="s">
        <v>39</v>
      </c>
      <c r="K11" s="47">
        <f>H11*(1-L11)</f>
        <v>1440</v>
      </c>
      <c r="L11" s="49">
        <v>0</v>
      </c>
      <c r="M11" s="47">
        <f>H11-K11</f>
        <v>0</v>
      </c>
      <c r="N11" s="50" t="s">
        <v>39</v>
      </c>
      <c r="O11" s="51" t="s">
        <v>40</v>
      </c>
      <c r="R11" s="27"/>
    </row>
    <row r="12" spans="1:18" s="5" customFormat="1" ht="65" customHeight="1" x14ac:dyDescent="0.2">
      <c r="A12" s="52">
        <v>2</v>
      </c>
      <c r="B12" s="34" t="s">
        <v>57</v>
      </c>
      <c r="C12" s="28">
        <v>1</v>
      </c>
      <c r="D12" s="35">
        <v>180</v>
      </c>
      <c r="E12" s="35">
        <f t="shared" ref="E12:E19" si="1">C12*D12</f>
        <v>180</v>
      </c>
      <c r="F12" s="28">
        <v>1</v>
      </c>
      <c r="G12" s="35">
        <v>180</v>
      </c>
      <c r="H12" s="35">
        <f t="shared" si="0"/>
        <v>180</v>
      </c>
      <c r="I12" s="36" t="s">
        <v>39</v>
      </c>
      <c r="J12" s="36" t="s">
        <v>39</v>
      </c>
      <c r="K12" s="30">
        <f t="shared" ref="K12:K19" si="2">H12*(1-L12)</f>
        <v>180</v>
      </c>
      <c r="L12" s="32">
        <v>0</v>
      </c>
      <c r="M12" s="30">
        <f t="shared" ref="M12:M19" si="3">H12-K12</f>
        <v>0</v>
      </c>
      <c r="N12" s="37" t="s">
        <v>39</v>
      </c>
      <c r="O12" s="53" t="s">
        <v>43</v>
      </c>
    </row>
    <row r="13" spans="1:18" s="5" customFormat="1" ht="65" customHeight="1" x14ac:dyDescent="0.2">
      <c r="A13" s="54">
        <v>3</v>
      </c>
      <c r="B13" s="29" t="s">
        <v>27</v>
      </c>
      <c r="C13" s="28">
        <v>1</v>
      </c>
      <c r="D13" s="30">
        <v>12.5</v>
      </c>
      <c r="E13" s="30">
        <f t="shared" si="1"/>
        <v>12.5</v>
      </c>
      <c r="F13" s="28">
        <v>1</v>
      </c>
      <c r="G13" s="30">
        <v>12.5</v>
      </c>
      <c r="H13" s="30">
        <f t="shared" si="0"/>
        <v>12.5</v>
      </c>
      <c r="I13" s="31">
        <v>6</v>
      </c>
      <c r="J13" s="31">
        <v>20</v>
      </c>
      <c r="K13" s="30">
        <f t="shared" si="2"/>
        <v>8.75</v>
      </c>
      <c r="L13" s="32">
        <f t="shared" ref="L13:L19" si="4">IF((I13/J13)&gt;=0.75,0.75,IF((I13/J13)&gt;=0.1,(I13/J13),IF((I13/J13)&lt;=0.1,0.1)))</f>
        <v>0.3</v>
      </c>
      <c r="M13" s="30">
        <f t="shared" si="3"/>
        <v>3.75</v>
      </c>
      <c r="N13" s="33" t="s">
        <v>42</v>
      </c>
      <c r="O13" s="55" t="s">
        <v>41</v>
      </c>
    </row>
    <row r="14" spans="1:18" s="5" customFormat="1" ht="65" customHeight="1" x14ac:dyDescent="0.2">
      <c r="A14" s="52">
        <v>4</v>
      </c>
      <c r="B14" s="34" t="s">
        <v>58</v>
      </c>
      <c r="C14" s="28">
        <v>2</v>
      </c>
      <c r="D14" s="35">
        <v>39.43</v>
      </c>
      <c r="E14" s="35">
        <f t="shared" si="1"/>
        <v>78.86</v>
      </c>
      <c r="F14" s="28">
        <v>2</v>
      </c>
      <c r="G14" s="35">
        <v>39.43</v>
      </c>
      <c r="H14" s="35">
        <f t="shared" si="0"/>
        <v>78.86</v>
      </c>
      <c r="I14" s="36">
        <v>6</v>
      </c>
      <c r="J14" s="36">
        <v>20</v>
      </c>
      <c r="K14" s="30">
        <f t="shared" si="2"/>
        <v>55.201999999999998</v>
      </c>
      <c r="L14" s="32">
        <f t="shared" si="4"/>
        <v>0.3</v>
      </c>
      <c r="M14" s="30">
        <f t="shared" si="3"/>
        <v>23.658000000000001</v>
      </c>
      <c r="N14" s="37" t="s">
        <v>42</v>
      </c>
      <c r="O14" s="53" t="s">
        <v>44</v>
      </c>
    </row>
    <row r="15" spans="1:18" s="5" customFormat="1" ht="65" customHeight="1" x14ac:dyDescent="0.2">
      <c r="A15" s="54">
        <v>5</v>
      </c>
      <c r="B15" s="29" t="s">
        <v>28</v>
      </c>
      <c r="C15" s="28">
        <v>1</v>
      </c>
      <c r="D15" s="30">
        <v>210.34</v>
      </c>
      <c r="E15" s="30">
        <f t="shared" si="1"/>
        <v>210.34</v>
      </c>
      <c r="F15" s="28">
        <v>1</v>
      </c>
      <c r="G15" s="30">
        <v>210.34</v>
      </c>
      <c r="H15" s="30">
        <f t="shared" si="0"/>
        <v>210.34</v>
      </c>
      <c r="I15" s="36">
        <v>6</v>
      </c>
      <c r="J15" s="36">
        <v>20</v>
      </c>
      <c r="K15" s="30">
        <f t="shared" si="2"/>
        <v>147.238</v>
      </c>
      <c r="L15" s="32">
        <f t="shared" si="4"/>
        <v>0.3</v>
      </c>
      <c r="M15" s="30">
        <f t="shared" si="3"/>
        <v>63.102000000000004</v>
      </c>
      <c r="N15" s="33" t="s">
        <v>42</v>
      </c>
      <c r="O15" s="55" t="s">
        <v>53</v>
      </c>
    </row>
    <row r="16" spans="1:18" s="5" customFormat="1" ht="65" customHeight="1" x14ac:dyDescent="0.2">
      <c r="A16" s="52">
        <v>6</v>
      </c>
      <c r="B16" s="34" t="s">
        <v>29</v>
      </c>
      <c r="C16" s="28">
        <v>1</v>
      </c>
      <c r="D16" s="35">
        <v>100.44</v>
      </c>
      <c r="E16" s="35">
        <f t="shared" si="1"/>
        <v>100.44</v>
      </c>
      <c r="F16" s="28">
        <v>1</v>
      </c>
      <c r="G16" s="35">
        <v>100.44</v>
      </c>
      <c r="H16" s="35">
        <f t="shared" si="0"/>
        <v>100.44</v>
      </c>
      <c r="I16" s="36">
        <v>6</v>
      </c>
      <c r="J16" s="36">
        <v>20</v>
      </c>
      <c r="K16" s="30">
        <f t="shared" si="2"/>
        <v>70.307999999999993</v>
      </c>
      <c r="L16" s="32">
        <f t="shared" si="4"/>
        <v>0.3</v>
      </c>
      <c r="M16" s="30">
        <f t="shared" si="3"/>
        <v>30.132000000000005</v>
      </c>
      <c r="N16" s="37" t="s">
        <v>42</v>
      </c>
      <c r="O16" s="53" t="s">
        <v>59</v>
      </c>
    </row>
    <row r="17" spans="1:15" s="5" customFormat="1" ht="65" customHeight="1" x14ac:dyDescent="0.2">
      <c r="A17" s="54">
        <v>7</v>
      </c>
      <c r="B17" s="29" t="s">
        <v>30</v>
      </c>
      <c r="C17" s="28">
        <v>1</v>
      </c>
      <c r="D17" s="30">
        <v>393.98</v>
      </c>
      <c r="E17" s="30">
        <f t="shared" si="1"/>
        <v>393.98</v>
      </c>
      <c r="F17" s="28">
        <v>1</v>
      </c>
      <c r="G17" s="30">
        <v>393.98</v>
      </c>
      <c r="H17" s="30">
        <f t="shared" si="0"/>
        <v>393.98</v>
      </c>
      <c r="I17" s="36">
        <v>6</v>
      </c>
      <c r="J17" s="36">
        <v>20</v>
      </c>
      <c r="K17" s="30">
        <f t="shared" si="2"/>
        <v>275.786</v>
      </c>
      <c r="L17" s="32">
        <f t="shared" si="4"/>
        <v>0.3</v>
      </c>
      <c r="M17" s="30">
        <f t="shared" si="3"/>
        <v>118.19400000000002</v>
      </c>
      <c r="N17" s="33" t="s">
        <v>42</v>
      </c>
      <c r="O17" s="55" t="s">
        <v>45</v>
      </c>
    </row>
    <row r="18" spans="1:15" s="5" customFormat="1" ht="65" customHeight="1" x14ac:dyDescent="0.2">
      <c r="A18" s="52">
        <v>8</v>
      </c>
      <c r="B18" s="34" t="s">
        <v>31</v>
      </c>
      <c r="C18" s="67">
        <v>1</v>
      </c>
      <c r="D18" s="35">
        <v>50.64</v>
      </c>
      <c r="E18" s="35">
        <f t="shared" si="1"/>
        <v>50.64</v>
      </c>
      <c r="F18" s="67">
        <v>1</v>
      </c>
      <c r="G18" s="35">
        <v>50</v>
      </c>
      <c r="H18" s="35">
        <f t="shared" si="0"/>
        <v>50</v>
      </c>
      <c r="I18" s="36">
        <v>6</v>
      </c>
      <c r="J18" s="36">
        <v>20</v>
      </c>
      <c r="K18" s="35">
        <f t="shared" si="2"/>
        <v>35</v>
      </c>
      <c r="L18" s="68">
        <f t="shared" si="4"/>
        <v>0.3</v>
      </c>
      <c r="M18" s="35">
        <f t="shared" si="3"/>
        <v>15</v>
      </c>
      <c r="N18" s="37" t="s">
        <v>42</v>
      </c>
      <c r="O18" s="53" t="s">
        <v>52</v>
      </c>
    </row>
    <row r="19" spans="1:15" s="5" customFormat="1" ht="65" customHeight="1" x14ac:dyDescent="0.2">
      <c r="A19" s="54">
        <v>9</v>
      </c>
      <c r="B19" s="29" t="s">
        <v>32</v>
      </c>
      <c r="C19" s="28">
        <v>1</v>
      </c>
      <c r="D19" s="30">
        <v>15.25</v>
      </c>
      <c r="E19" s="30">
        <f t="shared" si="1"/>
        <v>15.25</v>
      </c>
      <c r="F19" s="28">
        <v>1</v>
      </c>
      <c r="G19" s="30">
        <v>15.25</v>
      </c>
      <c r="H19" s="30">
        <f t="shared" si="0"/>
        <v>15.25</v>
      </c>
      <c r="I19" s="36">
        <v>6</v>
      </c>
      <c r="J19" s="36">
        <v>20</v>
      </c>
      <c r="K19" s="30">
        <f t="shared" si="2"/>
        <v>10.674999999999999</v>
      </c>
      <c r="L19" s="32">
        <f t="shared" si="4"/>
        <v>0.3</v>
      </c>
      <c r="M19" s="30">
        <f t="shared" si="3"/>
        <v>4.5750000000000011</v>
      </c>
      <c r="N19" s="33" t="s">
        <v>42</v>
      </c>
      <c r="O19" s="55" t="s">
        <v>46</v>
      </c>
    </row>
    <row r="20" spans="1:15" s="5" customFormat="1" ht="65" customHeight="1" x14ac:dyDescent="0.2">
      <c r="A20" s="52">
        <v>10</v>
      </c>
      <c r="B20" s="34" t="s">
        <v>33</v>
      </c>
      <c r="C20" s="28">
        <v>2</v>
      </c>
      <c r="D20" s="35">
        <v>13.52</v>
      </c>
      <c r="E20" s="35">
        <f t="shared" ref="E20:E26" si="5">C20*D20</f>
        <v>27.04</v>
      </c>
      <c r="F20" s="28">
        <v>2</v>
      </c>
      <c r="G20" s="35">
        <v>13.52</v>
      </c>
      <c r="H20" s="35">
        <f t="shared" si="0"/>
        <v>27.04</v>
      </c>
      <c r="I20" s="36">
        <v>6</v>
      </c>
      <c r="J20" s="36">
        <v>20</v>
      </c>
      <c r="K20" s="30">
        <f t="shared" ref="K20:K26" si="6">H20*(1-L20)</f>
        <v>18.927999999999997</v>
      </c>
      <c r="L20" s="32">
        <f t="shared" ref="L20:L25" si="7">IF((I20/J20)&gt;=0.75,0.75,IF((I20/J20)&gt;=0.1,(I20/J20),IF((I20/J20)&lt;=0.1,0.1)))</f>
        <v>0.3</v>
      </c>
      <c r="M20" s="30">
        <f t="shared" ref="M20:M26" si="8">H20-K20</f>
        <v>8.1120000000000019</v>
      </c>
      <c r="N20" s="37" t="s">
        <v>42</v>
      </c>
      <c r="O20" s="53" t="s">
        <v>46</v>
      </c>
    </row>
    <row r="21" spans="1:15" s="5" customFormat="1" ht="157" customHeight="1" x14ac:dyDescent="0.2">
      <c r="A21" s="56">
        <v>11</v>
      </c>
      <c r="B21" s="39" t="s">
        <v>34</v>
      </c>
      <c r="C21" s="38">
        <v>288</v>
      </c>
      <c r="D21" s="40">
        <v>1.82</v>
      </c>
      <c r="E21" s="40">
        <f t="shared" si="5"/>
        <v>524.16</v>
      </c>
      <c r="F21" s="38">
        <f>288/12</f>
        <v>24</v>
      </c>
      <c r="G21" s="40">
        <v>0.8</v>
      </c>
      <c r="H21" s="40">
        <f t="shared" si="0"/>
        <v>19.200000000000003</v>
      </c>
      <c r="I21" s="41">
        <v>6</v>
      </c>
      <c r="J21" s="41">
        <v>20</v>
      </c>
      <c r="K21" s="40">
        <f t="shared" si="6"/>
        <v>13.440000000000001</v>
      </c>
      <c r="L21" s="42">
        <f t="shared" si="7"/>
        <v>0.3</v>
      </c>
      <c r="M21" s="40">
        <f t="shared" si="8"/>
        <v>5.7600000000000016</v>
      </c>
      <c r="N21" s="43" t="s">
        <v>42</v>
      </c>
      <c r="O21" s="57" t="s">
        <v>55</v>
      </c>
    </row>
    <row r="22" spans="1:15" s="5" customFormat="1" ht="65" customHeight="1" x14ac:dyDescent="0.2">
      <c r="A22" s="52">
        <v>12</v>
      </c>
      <c r="B22" s="34" t="s">
        <v>35</v>
      </c>
      <c r="C22" s="28">
        <v>1</v>
      </c>
      <c r="D22" s="35">
        <v>118.33</v>
      </c>
      <c r="E22" s="35">
        <f t="shared" si="5"/>
        <v>118.33</v>
      </c>
      <c r="F22" s="28">
        <v>1</v>
      </c>
      <c r="G22" s="35">
        <v>118.33</v>
      </c>
      <c r="H22" s="35">
        <f t="shared" si="0"/>
        <v>118.33</v>
      </c>
      <c r="I22" s="36">
        <v>6</v>
      </c>
      <c r="J22" s="36">
        <v>20</v>
      </c>
      <c r="K22" s="30">
        <f t="shared" si="6"/>
        <v>82.830999999999989</v>
      </c>
      <c r="L22" s="32">
        <f t="shared" si="7"/>
        <v>0.3</v>
      </c>
      <c r="M22" s="30">
        <f t="shared" si="8"/>
        <v>35.499000000000009</v>
      </c>
      <c r="N22" s="37" t="s">
        <v>42</v>
      </c>
      <c r="O22" s="53" t="s">
        <v>47</v>
      </c>
    </row>
    <row r="23" spans="1:15" s="5" customFormat="1" ht="65" customHeight="1" x14ac:dyDescent="0.2">
      <c r="A23" s="54">
        <v>13</v>
      </c>
      <c r="B23" s="29" t="s">
        <v>36</v>
      </c>
      <c r="C23" s="28">
        <v>4</v>
      </c>
      <c r="D23" s="30">
        <v>12.68</v>
      </c>
      <c r="E23" s="30">
        <f t="shared" si="5"/>
        <v>50.72</v>
      </c>
      <c r="F23" s="28">
        <v>4</v>
      </c>
      <c r="G23" s="30">
        <v>12.68</v>
      </c>
      <c r="H23" s="30">
        <f t="shared" si="0"/>
        <v>50.72</v>
      </c>
      <c r="I23" s="36">
        <v>6</v>
      </c>
      <c r="J23" s="36">
        <v>20</v>
      </c>
      <c r="K23" s="30">
        <f t="shared" si="6"/>
        <v>35.503999999999998</v>
      </c>
      <c r="L23" s="32">
        <f t="shared" si="7"/>
        <v>0.3</v>
      </c>
      <c r="M23" s="30">
        <f t="shared" si="8"/>
        <v>15.216000000000001</v>
      </c>
      <c r="N23" s="33" t="s">
        <v>42</v>
      </c>
      <c r="O23" s="55" t="s">
        <v>48</v>
      </c>
    </row>
    <row r="24" spans="1:15" s="5" customFormat="1" ht="65" customHeight="1" x14ac:dyDescent="0.2">
      <c r="A24" s="52">
        <v>14</v>
      </c>
      <c r="B24" s="34" t="s">
        <v>37</v>
      </c>
      <c r="C24" s="28">
        <v>2</v>
      </c>
      <c r="D24" s="35">
        <v>0.19</v>
      </c>
      <c r="E24" s="35">
        <f t="shared" si="5"/>
        <v>0.38</v>
      </c>
      <c r="F24" s="28">
        <v>2</v>
      </c>
      <c r="G24" s="35">
        <v>0.19</v>
      </c>
      <c r="H24" s="35">
        <f t="shared" si="0"/>
        <v>0.38</v>
      </c>
      <c r="I24" s="36">
        <v>6</v>
      </c>
      <c r="J24" s="36">
        <v>20</v>
      </c>
      <c r="K24" s="30">
        <f t="shared" si="6"/>
        <v>0.26599999999999996</v>
      </c>
      <c r="L24" s="32">
        <f t="shared" si="7"/>
        <v>0.3</v>
      </c>
      <c r="M24" s="30">
        <f t="shared" si="8"/>
        <v>0.11400000000000005</v>
      </c>
      <c r="N24" s="37" t="s">
        <v>42</v>
      </c>
      <c r="O24" s="53" t="s">
        <v>49</v>
      </c>
    </row>
    <row r="25" spans="1:15" s="5" customFormat="1" ht="65" customHeight="1" x14ac:dyDescent="0.2">
      <c r="A25" s="52">
        <v>15</v>
      </c>
      <c r="B25" s="34" t="s">
        <v>38</v>
      </c>
      <c r="C25" s="67">
        <v>1</v>
      </c>
      <c r="D25" s="35">
        <v>2497.83</v>
      </c>
      <c r="E25" s="35">
        <f t="shared" si="5"/>
        <v>2497.83</v>
      </c>
      <c r="F25" s="67">
        <v>1</v>
      </c>
      <c r="G25" s="35">
        <v>2497.83</v>
      </c>
      <c r="H25" s="35">
        <f t="shared" si="0"/>
        <v>2497.83</v>
      </c>
      <c r="I25" s="36">
        <v>6</v>
      </c>
      <c r="J25" s="36">
        <v>20</v>
      </c>
      <c r="K25" s="35">
        <f t="shared" si="6"/>
        <v>1748.4809999999998</v>
      </c>
      <c r="L25" s="68">
        <f t="shared" si="7"/>
        <v>0.3</v>
      </c>
      <c r="M25" s="35">
        <f t="shared" si="8"/>
        <v>749.34900000000016</v>
      </c>
      <c r="N25" s="37" t="s">
        <v>42</v>
      </c>
      <c r="O25" s="53" t="s">
        <v>50</v>
      </c>
    </row>
    <row r="26" spans="1:15" s="5" customFormat="1" ht="65" customHeight="1" thickBot="1" x14ac:dyDescent="0.25">
      <c r="A26" s="58">
        <v>16</v>
      </c>
      <c r="B26" s="59" t="s">
        <v>56</v>
      </c>
      <c r="C26" s="60">
        <v>1</v>
      </c>
      <c r="D26" s="61">
        <v>25</v>
      </c>
      <c r="E26" s="61">
        <f t="shared" si="5"/>
        <v>25</v>
      </c>
      <c r="F26" s="60">
        <v>1</v>
      </c>
      <c r="G26" s="61">
        <v>25</v>
      </c>
      <c r="H26" s="61">
        <f t="shared" si="0"/>
        <v>25</v>
      </c>
      <c r="I26" s="62" t="s">
        <v>39</v>
      </c>
      <c r="J26" s="62" t="s">
        <v>39</v>
      </c>
      <c r="K26" s="63">
        <f t="shared" si="6"/>
        <v>25</v>
      </c>
      <c r="L26" s="64">
        <v>0</v>
      </c>
      <c r="M26" s="63">
        <f t="shared" si="8"/>
        <v>0</v>
      </c>
      <c r="N26" s="65" t="s">
        <v>39</v>
      </c>
      <c r="O26" s="66" t="s">
        <v>51</v>
      </c>
    </row>
    <row r="27" spans="1:15" s="5" customFormat="1" ht="18" customHeight="1" thickBot="1" x14ac:dyDescent="0.25">
      <c r="A27" s="103" t="s">
        <v>16</v>
      </c>
      <c r="B27" s="104"/>
      <c r="C27" s="104"/>
      <c r="D27" s="105"/>
      <c r="E27" s="14">
        <f>SUM(E11:E26)</f>
        <v>5725.4699999999993</v>
      </c>
      <c r="F27" s="15"/>
      <c r="G27" s="16"/>
      <c r="H27" s="17">
        <f>SUM(H11:H26)</f>
        <v>5219.869999999999</v>
      </c>
      <c r="I27" s="106"/>
      <c r="J27" s="107"/>
      <c r="K27" s="18">
        <f>SUM(K11:K26)</f>
        <v>4147.4089999999997</v>
      </c>
      <c r="L27" s="18"/>
      <c r="M27" s="18">
        <f>SUM(M11:M26)</f>
        <v>1072.4610000000002</v>
      </c>
      <c r="N27"/>
    </row>
    <row r="28" spans="1:15" s="5" customFormat="1" ht="18" customHeight="1" x14ac:dyDescent="0.2">
      <c r="A28" s="110" t="s">
        <v>17</v>
      </c>
      <c r="B28" s="111"/>
      <c r="C28" s="111"/>
      <c r="D28" s="112"/>
      <c r="E28" s="19">
        <v>255.03</v>
      </c>
      <c r="F28" s="20"/>
      <c r="G28" s="21"/>
      <c r="H28" s="19">
        <f>H27*0.044543</f>
        <v>232.50866940999995</v>
      </c>
      <c r="I28" s="113"/>
      <c r="J28" s="114"/>
      <c r="K28" s="69">
        <f>K27*0.044543</f>
        <v>184.73803908699998</v>
      </c>
      <c r="L28" s="22"/>
      <c r="M28" s="22">
        <f>H28-K28</f>
        <v>47.770630322999978</v>
      </c>
      <c r="N28"/>
    </row>
    <row r="29" spans="1:15" s="5" customFormat="1" ht="18" customHeight="1" thickBot="1" x14ac:dyDescent="0.25">
      <c r="A29" s="110" t="s">
        <v>15</v>
      </c>
      <c r="B29" s="111"/>
      <c r="C29" s="111"/>
      <c r="D29" s="112"/>
      <c r="E29" s="23">
        <f>SUM(E27:E28)</f>
        <v>5980.4999999999991</v>
      </c>
      <c r="F29" s="24"/>
      <c r="G29" s="25"/>
      <c r="H29" s="23">
        <f>SUM(H27,H28)</f>
        <v>5452.378669409999</v>
      </c>
      <c r="I29" s="115"/>
      <c r="J29" s="116"/>
      <c r="K29" s="26">
        <f>SUM(K27:K28)</f>
        <v>4332.1470390869999</v>
      </c>
      <c r="L29" s="26"/>
      <c r="M29" s="26">
        <f>SUM(M27:M28)</f>
        <v>1120.2316303230002</v>
      </c>
      <c r="N29"/>
    </row>
    <row r="30" spans="1:15" ht="12.75" customHeight="1" x14ac:dyDescent="0.2">
      <c r="A30" s="92"/>
      <c r="B30" s="92"/>
      <c r="C30" s="1"/>
      <c r="D30" s="1"/>
      <c r="E30" s="1"/>
      <c r="F30" s="1"/>
      <c r="G30" s="1"/>
      <c r="H30" s="1"/>
      <c r="I30" s="1"/>
      <c r="J30" s="1"/>
      <c r="K30" s="1"/>
      <c r="L30" s="1"/>
      <c r="M30" s="1"/>
      <c r="N30" s="1"/>
    </row>
    <row r="32" spans="1:15" x14ac:dyDescent="0.2">
      <c r="B32" s="70" t="s">
        <v>18</v>
      </c>
      <c r="C32" s="71"/>
      <c r="D32" s="72"/>
      <c r="E32" s="76">
        <f>E29</f>
        <v>5980.4999999999991</v>
      </c>
    </row>
    <row r="33" spans="2:12" x14ac:dyDescent="0.2">
      <c r="B33" s="73"/>
      <c r="C33" s="74"/>
      <c r="D33" s="75"/>
      <c r="E33" s="78"/>
    </row>
    <row r="35" spans="2:12" x14ac:dyDescent="0.2">
      <c r="B35" s="70" t="s">
        <v>19</v>
      </c>
      <c r="C35" s="71"/>
      <c r="D35" s="72"/>
      <c r="E35" s="76">
        <f>H29</f>
        <v>5452.378669409999</v>
      </c>
    </row>
    <row r="36" spans="2:12" x14ac:dyDescent="0.2">
      <c r="B36" s="73"/>
      <c r="C36" s="74"/>
      <c r="D36" s="75"/>
      <c r="E36" s="78"/>
    </row>
    <row r="38" spans="2:12" x14ac:dyDescent="0.2">
      <c r="B38" s="70" t="s">
        <v>20</v>
      </c>
      <c r="C38" s="71"/>
      <c r="D38" s="72"/>
      <c r="E38" s="76">
        <f>K29</f>
        <v>4332.1470390869999</v>
      </c>
    </row>
    <row r="39" spans="2:12" x14ac:dyDescent="0.2">
      <c r="B39" s="73"/>
      <c r="C39" s="74"/>
      <c r="D39" s="75"/>
      <c r="E39" s="78"/>
      <c r="I39" s="8"/>
      <c r="J39" s="8"/>
      <c r="K39" s="8"/>
      <c r="L39" s="8"/>
    </row>
    <row r="40" spans="2:12" x14ac:dyDescent="0.2">
      <c r="I40" s="8"/>
      <c r="J40" s="8"/>
      <c r="K40" s="8"/>
      <c r="L40" s="8"/>
    </row>
    <row r="41" spans="2:12" x14ac:dyDescent="0.2">
      <c r="B41" s="70" t="s">
        <v>21</v>
      </c>
      <c r="C41" s="71"/>
      <c r="D41" s="72"/>
      <c r="E41" s="76">
        <f>M29</f>
        <v>1120.2316303230002</v>
      </c>
    </row>
    <row r="42" spans="2:12" x14ac:dyDescent="0.2">
      <c r="B42" s="73"/>
      <c r="C42" s="74"/>
      <c r="D42" s="75"/>
      <c r="E42" s="77"/>
    </row>
  </sheetData>
  <mergeCells count="33">
    <mergeCell ref="A28:D28"/>
    <mergeCell ref="I28:J28"/>
    <mergeCell ref="A29:D29"/>
    <mergeCell ref="I29:J29"/>
    <mergeCell ref="G4:H5"/>
    <mergeCell ref="A30:B30"/>
    <mergeCell ref="F9:H9"/>
    <mergeCell ref="A9:A10"/>
    <mergeCell ref="A8:O8"/>
    <mergeCell ref="C9:E9"/>
    <mergeCell ref="B9:B10"/>
    <mergeCell ref="A27:D27"/>
    <mergeCell ref="I27:J27"/>
    <mergeCell ref="L9:L10"/>
    <mergeCell ref="O9:O10"/>
    <mergeCell ref="I9:I10"/>
    <mergeCell ref="J9:J10"/>
    <mergeCell ref="K9:K10"/>
    <mergeCell ref="M9:M10"/>
    <mergeCell ref="N9:N10"/>
    <mergeCell ref="A1:E1"/>
    <mergeCell ref="A2:E2"/>
    <mergeCell ref="A3:E3"/>
    <mergeCell ref="A4:E4"/>
    <mergeCell ref="A5:E5"/>
    <mergeCell ref="B41:D42"/>
    <mergeCell ref="E41:E42"/>
    <mergeCell ref="B32:D33"/>
    <mergeCell ref="B35:D36"/>
    <mergeCell ref="B38:D39"/>
    <mergeCell ref="E38:E39"/>
    <mergeCell ref="E32:E33"/>
    <mergeCell ref="E35:E36"/>
  </mergeCells>
  <phoneticPr fontId="1" type="noConversion"/>
  <pageMargins left="0.25" right="0.25" top="0.75" bottom="0.75" header="0.3" footer="0.3"/>
  <pageSetup scale="55" fitToHeight="20" orientation="landscape" horizontalDpi="300" verticalDpi="1200" r:id="rId1"/>
  <headerFooter alignWithMargins="0">
    <oddFooter>&amp;C&amp;"Times New Roman,Regular"Page &amp;P of &amp;N
© 2022 by Loss Solutions Group, LLC.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3" x14ac:dyDescent="0.15"/>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Loss Solutions Group</dc:creator>
  <cp:keywords/>
  <dc:description/>
  <cp:lastModifiedBy>Emma Muhleman</cp:lastModifiedBy>
  <cp:revision/>
  <dcterms:created xsi:type="dcterms:W3CDTF">2007-08-27T01:37:34Z</dcterms:created>
  <dcterms:modified xsi:type="dcterms:W3CDTF">2026-03-01T00:28:47Z</dcterms:modified>
  <cp:category/>
  <cp:contentStatus/>
</cp:coreProperties>
</file>