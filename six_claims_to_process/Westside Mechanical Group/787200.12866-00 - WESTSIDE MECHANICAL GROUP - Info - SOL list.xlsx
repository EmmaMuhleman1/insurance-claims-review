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M:\787200.000X - Travelers Insurance\787200.12866 - WESTSIDE MECHANICAL GROUP\00\"/>
    </mc:Choice>
  </mc:AlternateContent>
  <xr:revisionPtr revIDLastSave="0" documentId="13_ncr:1_{5813294B-59BC-4C14-A723-50FBBA2E7949}" xr6:coauthVersionLast="47" xr6:coauthVersionMax="47" xr10:uidLastSave="{00000000-0000-0000-0000-000000000000}"/>
  <bookViews>
    <workbookView xWindow="25017" yWindow="-118" windowWidth="25370" windowHeight="15238" activeTab="2" xr2:uid="{00000000-000D-0000-FFFF-FFFF00000000}"/>
  </bookViews>
  <sheets>
    <sheet name="Contractor's Equipment" sheetId="5" r:id="rId1"/>
    <sheet name="Employee tools" sheetId="1" r:id="rId2"/>
    <sheet name="Materials 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5" l="1"/>
  <c r="H26" i="5" s="1"/>
  <c r="F25" i="5"/>
  <c r="H25" i="5" s="1"/>
  <c r="F24" i="5"/>
  <c r="F23" i="5"/>
  <c r="H23" i="5" s="1"/>
  <c r="F22" i="5"/>
  <c r="H22" i="5" s="1"/>
  <c r="F21" i="5"/>
  <c r="H21" i="5" s="1"/>
  <c r="F20" i="5"/>
  <c r="H20" i="5" s="1"/>
  <c r="F19" i="5"/>
  <c r="F18" i="5"/>
  <c r="H18" i="5" s="1"/>
  <c r="F17" i="5"/>
  <c r="H17" i="5" s="1"/>
  <c r="F16" i="5"/>
  <c r="F15" i="5"/>
  <c r="F14" i="5"/>
  <c r="H14" i="5" s="1"/>
  <c r="F26" i="4"/>
  <c r="F25" i="4"/>
  <c r="F24" i="4"/>
  <c r="F23" i="4"/>
  <c r="H23" i="4" s="1"/>
  <c r="I23" i="4" s="1"/>
  <c r="F22" i="4"/>
  <c r="H22" i="4" s="1"/>
  <c r="I22" i="4" s="1"/>
  <c r="F21" i="4"/>
  <c r="H21" i="4" s="1"/>
  <c r="I21" i="4" s="1"/>
  <c r="K21" i="4" s="1"/>
  <c r="F20" i="4"/>
  <c r="H20" i="4" s="1"/>
  <c r="I20" i="4" s="1"/>
  <c r="F19" i="4"/>
  <c r="H19" i="4" s="1"/>
  <c r="I19" i="4" s="1"/>
  <c r="K19" i="4" s="1"/>
  <c r="L19" i="4" s="1"/>
  <c r="M19" i="4" s="1"/>
  <c r="F18" i="4"/>
  <c r="F17" i="4"/>
  <c r="F16" i="4"/>
  <c r="H16" i="4" s="1"/>
  <c r="F15" i="4"/>
  <c r="H15" i="4" s="1"/>
  <c r="I15" i="4" s="1"/>
  <c r="F14" i="4"/>
  <c r="H14" i="4" s="1"/>
  <c r="I14" i="4" s="1"/>
  <c r="F15" i="1"/>
  <c r="H15" i="1" s="1"/>
  <c r="F16" i="1"/>
  <c r="F17" i="1"/>
  <c r="H17" i="1" s="1"/>
  <c r="I17" i="1" s="1"/>
  <c r="F18" i="1"/>
  <c r="H18" i="1" s="1"/>
  <c r="I18" i="1" s="1"/>
  <c r="K18" i="1" s="1"/>
  <c r="F19" i="1"/>
  <c r="H19" i="1" s="1"/>
  <c r="I19" i="1" s="1"/>
  <c r="K19" i="1" s="1"/>
  <c r="L19" i="1" s="1"/>
  <c r="M19" i="1" s="1"/>
  <c r="F20" i="1"/>
  <c r="H20" i="1" s="1"/>
  <c r="F21" i="1"/>
  <c r="H21" i="1" s="1"/>
  <c r="F22" i="1"/>
  <c r="H22" i="1" s="1"/>
  <c r="F23" i="1"/>
  <c r="H23" i="1" s="1"/>
  <c r="F24" i="1"/>
  <c r="H24" i="1" s="1"/>
  <c r="I24" i="1" s="1"/>
  <c r="K24" i="1" s="1"/>
  <c r="L24" i="1" s="1"/>
  <c r="M24" i="1" s="1"/>
  <c r="F25" i="1"/>
  <c r="H25" i="1"/>
  <c r="I25" i="1" s="1"/>
  <c r="K25" i="1" s="1"/>
  <c r="L25" i="1" s="1"/>
  <c r="M25" i="1" s="1"/>
  <c r="F26" i="1"/>
  <c r="H26" i="1" s="1"/>
  <c r="I26" i="1" s="1"/>
  <c r="F27" i="1"/>
  <c r="H27" i="1" s="1"/>
  <c r="I27" i="1" s="1"/>
  <c r="K27" i="1" s="1"/>
  <c r="L27" i="1" s="1"/>
  <c r="M27" i="1" s="1"/>
  <c r="F28" i="1"/>
  <c r="H28" i="1" s="1"/>
  <c r="F29" i="1"/>
  <c r="H29" i="1" s="1"/>
  <c r="I29" i="1" s="1"/>
  <c r="K29" i="1" s="1"/>
  <c r="L29" i="1" s="1"/>
  <c r="M29" i="1" s="1"/>
  <c r="F30" i="1"/>
  <c r="H30" i="1" s="1"/>
  <c r="F31" i="1"/>
  <c r="H31" i="1" s="1"/>
  <c r="F32" i="1"/>
  <c r="H32" i="1" s="1"/>
  <c r="I32" i="1" s="1"/>
  <c r="K32" i="1" s="1"/>
  <c r="L32" i="1" s="1"/>
  <c r="M32" i="1" s="1"/>
  <c r="F33" i="1"/>
  <c r="H33" i="1" s="1"/>
  <c r="I33" i="1" s="1"/>
  <c r="F34" i="1"/>
  <c r="H34" i="1" s="1"/>
  <c r="I34" i="1" s="1"/>
  <c r="K34" i="1" s="1"/>
  <c r="L34" i="1" s="1"/>
  <c r="M34" i="1" s="1"/>
  <c r="F35" i="1"/>
  <c r="F36" i="1"/>
  <c r="H36" i="1" s="1"/>
  <c r="F37" i="1"/>
  <c r="H37" i="1"/>
  <c r="I37" i="1" s="1"/>
  <c r="K37" i="1" s="1"/>
  <c r="F38" i="1"/>
  <c r="H38" i="1" s="1"/>
  <c r="I38" i="1" s="1"/>
  <c r="F39" i="1"/>
  <c r="H39" i="1" s="1"/>
  <c r="I39" i="1" s="1"/>
  <c r="K39" i="1" s="1"/>
  <c r="L39" i="1" s="1"/>
  <c r="M39" i="1" s="1"/>
  <c r="F14" i="1"/>
  <c r="H16" i="1"/>
  <c r="I16" i="1" s="1"/>
  <c r="K16" i="1" s="1"/>
  <c r="L16" i="1" s="1"/>
  <c r="M16" i="1" s="1"/>
  <c r="H14" i="1"/>
  <c r="I14" i="1" s="1"/>
  <c r="K14" i="1" s="1"/>
  <c r="H35" i="1"/>
  <c r="I35" i="1" s="1"/>
  <c r="K35" i="1" s="1"/>
  <c r="I28" i="1" l="1"/>
  <c r="K28" i="1" s="1"/>
  <c r="L28" i="1" s="1"/>
  <c r="M28" i="1" s="1"/>
  <c r="I23" i="1"/>
  <c r="K23" i="1" s="1"/>
  <c r="L23" i="1" s="1"/>
  <c r="M23" i="1" s="1"/>
  <c r="I36" i="1"/>
  <c r="K36" i="1" s="1"/>
  <c r="L36" i="1" s="1"/>
  <c r="M36" i="1" s="1"/>
  <c r="L37" i="1"/>
  <c r="M37" i="1" s="1"/>
  <c r="I21" i="1"/>
  <c r="K21" i="1" s="1"/>
  <c r="L21" i="1" s="1"/>
  <c r="M21" i="1" s="1"/>
  <c r="I30" i="1"/>
  <c r="K30" i="1" s="1"/>
  <c r="L30" i="1" s="1"/>
  <c r="M30" i="1" s="1"/>
  <c r="L14" i="1"/>
  <c r="M14" i="1" s="1"/>
  <c r="K38" i="1"/>
  <c r="L38" i="1" s="1"/>
  <c r="M38" i="1" s="1"/>
  <c r="K26" i="1"/>
  <c r="L26" i="1" s="1"/>
  <c r="M26" i="1" s="1"/>
  <c r="K17" i="1"/>
  <c r="L17" i="1" s="1"/>
  <c r="M17" i="1" s="1"/>
  <c r="I15" i="1"/>
  <c r="H42" i="1"/>
  <c r="K33" i="1"/>
  <c r="L33" i="1" s="1"/>
  <c r="M33" i="1" s="1"/>
  <c r="I31" i="1"/>
  <c r="L35" i="1"/>
  <c r="M35" i="1" s="1"/>
  <c r="L18" i="1"/>
  <c r="M18" i="1" s="1"/>
  <c r="I22" i="1"/>
  <c r="I20" i="1"/>
  <c r="I20" i="5"/>
  <c r="K20" i="5" s="1"/>
  <c r="I14" i="5"/>
  <c r="K14" i="5" s="1"/>
  <c r="L14" i="5" s="1"/>
  <c r="H16" i="5"/>
  <c r="I16" i="5" s="1"/>
  <c r="H24" i="5"/>
  <c r="I24" i="5" s="1"/>
  <c r="H17" i="4"/>
  <c r="I17" i="4" s="1"/>
  <c r="K17" i="4" s="1"/>
  <c r="L17" i="4" s="1"/>
  <c r="M17" i="4" s="1"/>
  <c r="H25" i="4"/>
  <c r="I25" i="4" s="1"/>
  <c r="K25" i="4" s="1"/>
  <c r="L25" i="4" s="1"/>
  <c r="M25" i="4" s="1"/>
  <c r="I18" i="5"/>
  <c r="I23" i="5"/>
  <c r="H19" i="5"/>
  <c r="H15" i="5"/>
  <c r="I15" i="5" s="1"/>
  <c r="I25" i="5"/>
  <c r="I21" i="5"/>
  <c r="I26" i="5"/>
  <c r="I17" i="5"/>
  <c r="I22" i="5"/>
  <c r="K23" i="4"/>
  <c r="L23" i="4" s="1"/>
  <c r="M23" i="4" s="1"/>
  <c r="K14" i="4"/>
  <c r="K20" i="4"/>
  <c r="L20" i="4" s="1"/>
  <c r="M20" i="4" s="1"/>
  <c r="K22" i="4"/>
  <c r="L22" i="4" s="1"/>
  <c r="M22" i="4" s="1"/>
  <c r="K15" i="4"/>
  <c r="L15" i="4" s="1"/>
  <c r="M15" i="4" s="1"/>
  <c r="I16" i="4"/>
  <c r="H26" i="4"/>
  <c r="I26" i="4" s="1"/>
  <c r="H24" i="4"/>
  <c r="I24" i="4" s="1"/>
  <c r="H18" i="4"/>
  <c r="I18" i="4" s="1"/>
  <c r="L21" i="4"/>
  <c r="M21" i="4" s="1"/>
  <c r="J45" i="1" l="1"/>
  <c r="L20" i="5"/>
  <c r="M20" i="5" s="1"/>
  <c r="K22" i="1"/>
  <c r="L22" i="1" s="1"/>
  <c r="M22" i="1" s="1"/>
  <c r="I42" i="1"/>
  <c r="K15" i="1"/>
  <c r="K20" i="1"/>
  <c r="L20" i="1" s="1"/>
  <c r="M20" i="1" s="1"/>
  <c r="K31" i="1"/>
  <c r="L31" i="1" s="1"/>
  <c r="M31" i="1" s="1"/>
  <c r="H29" i="5"/>
  <c r="K24" i="5"/>
  <c r="L24" i="5" s="1"/>
  <c r="M24" i="5" s="1"/>
  <c r="K16" i="5"/>
  <c r="L16" i="5" s="1"/>
  <c r="M16" i="5" s="1"/>
  <c r="H29" i="4"/>
  <c r="M14" i="5"/>
  <c r="K21" i="5"/>
  <c r="L21" i="5" s="1"/>
  <c r="M21" i="5" s="1"/>
  <c r="K17" i="5"/>
  <c r="L17" i="5" s="1"/>
  <c r="M17" i="5" s="1"/>
  <c r="I19" i="5"/>
  <c r="J32" i="5" s="1"/>
  <c r="K18" i="5"/>
  <c r="L18" i="5" s="1"/>
  <c r="M18" i="5" s="1"/>
  <c r="K23" i="5"/>
  <c r="L23" i="5" s="1"/>
  <c r="M23" i="5" s="1"/>
  <c r="K22" i="5"/>
  <c r="L22" i="5" s="1"/>
  <c r="M22" i="5" s="1"/>
  <c r="K15" i="5"/>
  <c r="L15" i="5" s="1"/>
  <c r="K25" i="5"/>
  <c r="L25" i="5" s="1"/>
  <c r="M25" i="5" s="1"/>
  <c r="K26" i="5"/>
  <c r="L26" i="5" s="1"/>
  <c r="M26" i="5" s="1"/>
  <c r="K24" i="4"/>
  <c r="L24" i="4" s="1"/>
  <c r="M24" i="4" s="1"/>
  <c r="I29" i="4"/>
  <c r="K26" i="4"/>
  <c r="L26" i="4" s="1"/>
  <c r="M26" i="4" s="1"/>
  <c r="L14" i="4"/>
  <c r="J32" i="4"/>
  <c r="K18" i="4"/>
  <c r="L18" i="4" s="1"/>
  <c r="M18" i="4" s="1"/>
  <c r="K16" i="4"/>
  <c r="L16" i="4" s="1"/>
  <c r="M16" i="4" s="1"/>
  <c r="J47" i="1" l="1"/>
  <c r="K42" i="1"/>
  <c r="L15" i="1"/>
  <c r="K29" i="4"/>
  <c r="J34" i="4"/>
  <c r="M15" i="5"/>
  <c r="K19" i="5"/>
  <c r="L19" i="5" s="1"/>
  <c r="I29" i="5"/>
  <c r="M14" i="4"/>
  <c r="J36" i="4"/>
  <c r="L29" i="4"/>
  <c r="M15" i="1" l="1"/>
  <c r="L42" i="1"/>
  <c r="J49" i="1"/>
  <c r="M19" i="5"/>
  <c r="J36" i="5"/>
  <c r="L29" i="5"/>
  <c r="J34" i="5"/>
  <c r="K29" i="5"/>
  <c r="J38" i="4"/>
  <c r="J42" i="4" s="1"/>
  <c r="M29" i="4"/>
  <c r="M42" i="1" l="1"/>
  <c r="J51" i="1"/>
  <c r="J55" i="1" s="1"/>
  <c r="J38" i="5"/>
  <c r="J42" i="5" s="1"/>
  <c r="M29" i="5"/>
</calcChain>
</file>

<file path=xl/sharedStrings.xml><?xml version="1.0" encoding="utf-8"?>
<sst xmlns="http://schemas.openxmlformats.org/spreadsheetml/2006/main" count="181" uniqueCount="91">
  <si>
    <t>COST TO</t>
  </si>
  <si>
    <t>TOTAL COST</t>
  </si>
  <si>
    <t>RC</t>
  </si>
  <si>
    <t>ACTUAL</t>
  </si>
  <si>
    <t>REPLACE/REPAIR</t>
  </si>
  <si>
    <t xml:space="preserve">OF </t>
  </si>
  <si>
    <t>TAX</t>
  </si>
  <si>
    <t>&amp;</t>
  </si>
  <si>
    <t>DEPRECIATION</t>
  </si>
  <si>
    <t xml:space="preserve">TOTAL </t>
  </si>
  <si>
    <t>CASH</t>
  </si>
  <si>
    <t xml:space="preserve">ACV </t>
  </si>
  <si>
    <t>ITEM DESCRIPTION (Make/Model/Serial #)</t>
  </si>
  <si>
    <t>AGE</t>
  </si>
  <si>
    <t>QTY</t>
  </si>
  <si>
    <t xml:space="preserve">(for each item) </t>
  </si>
  <si>
    <t>%</t>
  </si>
  <si>
    <t>AMT.</t>
  </si>
  <si>
    <t>% PER YEAR</t>
  </si>
  <si>
    <t>VALUE</t>
  </si>
  <si>
    <t xml:space="preserve"> -OR- Limit</t>
  </si>
  <si>
    <t>Validation source</t>
  </si>
  <si>
    <t xml:space="preserve">LIMIT </t>
  </si>
  <si>
    <t>NOTES:</t>
  </si>
  <si>
    <t>TOTAL RCV</t>
  </si>
  <si>
    <t>TOTAL DEP. TAKEN</t>
  </si>
  <si>
    <t>TOTAL ACV</t>
  </si>
  <si>
    <t>TOTAL ACV INCL. ANY LIMITS</t>
  </si>
  <si>
    <t>TOTAL OR REMAINDER OF DED</t>
  </si>
  <si>
    <t>NET LOSS</t>
  </si>
  <si>
    <t>Underwriting Company: TRAVELERS PROPERTY CASUALTY COMPANY OF AMERICA</t>
  </si>
  <si>
    <t>Claim Handler: Neri Barragan</t>
  </si>
  <si>
    <t>Type of Loss: Theft</t>
  </si>
  <si>
    <t>Insured Name: WESTSIDE MECHANICAL GROUP INC</t>
  </si>
  <si>
    <t>Address: 2007 CORPORATE LN NAPERVILLE IL60563</t>
  </si>
  <si>
    <t>Policy Number: 630-8W964820</t>
  </si>
  <si>
    <t>Claim No: F2X8905</t>
  </si>
  <si>
    <t>Loss date: 01/15/26</t>
  </si>
  <si>
    <t>Loss Location: 1100 S YORK ST ELMHURST IL 60126</t>
  </si>
  <si>
    <t>2" copper pipe</t>
  </si>
  <si>
    <t>3/4" copper pipe</t>
  </si>
  <si>
    <t>1-1/2" copper pipe</t>
  </si>
  <si>
    <t>1" copper pipe</t>
  </si>
  <si>
    <t>3/4" propress 90</t>
  </si>
  <si>
    <t>3/4" propress couplings</t>
  </si>
  <si>
    <t>1" × 3/4" propress tees</t>
  </si>
  <si>
    <t>1" copper swt 90</t>
  </si>
  <si>
    <t>3/4" copper swt 90</t>
  </si>
  <si>
    <t>3/4" copper swt couplings</t>
  </si>
  <si>
    <t>1/0 Welding Cable</t>
  </si>
  <si>
    <t>IMI Coil Packs (36)</t>
  </si>
  <si>
    <t>Control Valves (36)</t>
  </si>
  <si>
    <t>Dewalt Impacts (20v XR Litium ION)</t>
  </si>
  <si>
    <t>Dewalt Dot Lasers (Red Self Leveling 3-spot)</t>
  </si>
  <si>
    <t>Hilti Shooter (DX351)</t>
  </si>
  <si>
    <t>Dewalt Sawzalls (DCS38013)</t>
  </si>
  <si>
    <t>Hilti Hammer Drills (TE-4)</t>
  </si>
  <si>
    <t>Dewalt Large Bandsaws (20v XR Cordless)</t>
  </si>
  <si>
    <t>Dewalt 20v Max XR Batteries</t>
  </si>
  <si>
    <t>Tool Bags</t>
  </si>
  <si>
    <t>Dewalt Touchscreen Speaker/Radio</t>
  </si>
  <si>
    <t>Dewalt Double Cuts (20v Max Swivel)</t>
  </si>
  <si>
    <t>Dewalt Drills (20v Max XR)</t>
  </si>
  <si>
    <t>Stinger/Electrode Holder</t>
  </si>
  <si>
    <t>Welding Ground Clamp</t>
  </si>
  <si>
    <t>Jbl Xtreme 4 speaker</t>
  </si>
  <si>
    <t>AirPod pro gen 3</t>
  </si>
  <si>
    <t>Dewalt 33 tool backpack</t>
  </si>
  <si>
    <t>Impact drill</t>
  </si>
  <si>
    <t>Drill bit set</t>
  </si>
  <si>
    <t>Allen key sets</t>
  </si>
  <si>
    <t>Phillip screw drivers</t>
  </si>
  <si>
    <t>Flathead screw drivers</t>
  </si>
  <si>
    <t>9/16 12" nut runner</t>
  </si>
  <si>
    <t>90 degree angle adapter</t>
  </si>
  <si>
    <t>6" 5/16 extension</t>
  </si>
  <si>
    <t>12" 5/16 extension</t>
  </si>
  <si>
    <t>Adjustable wrench</t>
  </si>
  <si>
    <t>Tin hammer</t>
  </si>
  <si>
    <t>Pry bar</t>
  </si>
  <si>
    <t>Set tool</t>
  </si>
  <si>
    <t>Scriber</t>
  </si>
  <si>
    <t>Circumference tape</t>
  </si>
  <si>
    <t>Dewalt 25' tape</t>
  </si>
  <si>
    <t>Architectural scale ruler</t>
  </si>
  <si>
    <t>Insulation knife</t>
  </si>
  <si>
    <t>Utility knife</t>
  </si>
  <si>
    <t>Scratch awl</t>
  </si>
  <si>
    <t>Combo square</t>
  </si>
  <si>
    <t>Speed square</t>
  </si>
  <si>
    <t>Milwaukee head 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</si>
</sst>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30" x14ac:knownFonts="1">
    <font>
      <sz val="10"/>
      <name val="Arial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u/>
      <sz val="10"/>
      <name val="Arial"/>
    </font>
    <font>
      <b/>
      <sz val="10"/>
      <name val="Arial"/>
    </font>
    <font>
      <sz val="10"/>
      <color indexed="12"/>
      <name val="Arial"/>
    </font>
    <font>
      <sz val="10"/>
      <color indexed="10"/>
      <name val="Arial"/>
    </font>
    <font>
      <b/>
      <u/>
      <sz val="8"/>
      <name val="Arial"/>
    </font>
    <font>
      <sz val="8"/>
      <name val="Arial"/>
    </font>
    <font>
      <b/>
      <sz val="8"/>
      <name val="Arial"/>
      <family val="2"/>
    </font>
    <font>
      <b/>
      <i/>
      <sz val="10"/>
      <name val="Arial"/>
      <family val="2"/>
    </font>
    <font>
      <b/>
      <i/>
      <u/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5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23" borderId="7" applyNumberFormat="0" applyFont="0" applyAlignment="0" applyProtection="0"/>
    <xf numFmtId="0" fontId="15" fillId="20" borderId="8" applyNumberFormat="0" applyAlignment="0" applyProtection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29" fillId="0" borderId="0" applyNumberFormat="0" applyFill="0" applyBorder="0" applyAlignment="0" applyProtection="0"/>
  </cellStyleXfs>
  <cellXfs count="71">
    <xf numFmtId="0" fontId="0" fillId="0" borderId="0" xfId="0"/>
    <xf numFmtId="0" fontId="20" fillId="0" borderId="0" xfId="0" applyFont="1" applyAlignment="1">
      <alignment horizontal="left"/>
    </xf>
    <xf numFmtId="0" fontId="19" fillId="0" borderId="0" xfId="28" applyNumberFormat="1" applyFont="1" applyAlignment="1">
      <alignment horizontal="center"/>
    </xf>
    <xf numFmtId="44" fontId="20" fillId="0" borderId="0" xfId="28" applyFont="1" applyAlignment="1">
      <alignment horizontal="center"/>
    </xf>
    <xf numFmtId="9" fontId="20" fillId="0" borderId="0" xfId="4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left"/>
    </xf>
    <xf numFmtId="164" fontId="21" fillId="0" borderId="10" xfId="28" applyNumberFormat="1" applyFont="1" applyBorder="1" applyAlignment="1">
      <alignment horizontal="right"/>
    </xf>
    <xf numFmtId="44" fontId="22" fillId="0" borderId="10" xfId="28" applyFont="1" applyBorder="1" applyAlignment="1">
      <alignment horizontal="center"/>
    </xf>
    <xf numFmtId="164" fontId="22" fillId="0" borderId="10" xfId="28" applyNumberFormat="1" applyFont="1" applyBorder="1" applyAlignment="1">
      <alignment horizontal="right"/>
    </xf>
    <xf numFmtId="0" fontId="20" fillId="0" borderId="10" xfId="0" applyFont="1" applyBorder="1"/>
    <xf numFmtId="44" fontId="21" fillId="0" borderId="10" xfId="28" applyFont="1" applyBorder="1"/>
    <xf numFmtId="0" fontId="0" fillId="0" borderId="11" xfId="0" applyBorder="1"/>
    <xf numFmtId="0" fontId="0" fillId="0" borderId="12" xfId="0" applyBorder="1"/>
    <xf numFmtId="0" fontId="25" fillId="0" borderId="12" xfId="0" applyFont="1" applyBorder="1"/>
    <xf numFmtId="0" fontId="25" fillId="0" borderId="13" xfId="0" applyFont="1" applyBorder="1"/>
    <xf numFmtId="0" fontId="0" fillId="0" borderId="14" xfId="0" applyBorder="1"/>
    <xf numFmtId="0" fontId="26" fillId="0" borderId="15" xfId="0" applyFont="1" applyBorder="1"/>
    <xf numFmtId="44" fontId="0" fillId="0" borderId="16" xfId="0" applyNumberFormat="1" applyBorder="1"/>
    <xf numFmtId="0" fontId="0" fillId="0" borderId="17" xfId="0" applyBorder="1"/>
    <xf numFmtId="44" fontId="0" fillId="0" borderId="18" xfId="0" applyNumberFormat="1" applyBorder="1"/>
    <xf numFmtId="0" fontId="27" fillId="0" borderId="19" xfId="0" applyFont="1" applyBorder="1" applyProtection="1"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0" fillId="0" borderId="0" xfId="0" applyProtection="1">
      <protection locked="0"/>
    </xf>
    <xf numFmtId="0" fontId="0" fillId="0" borderId="21" xfId="0" applyBorder="1" applyProtection="1">
      <protection locked="0"/>
    </xf>
    <xf numFmtId="44" fontId="0" fillId="0" borderId="0" xfId="0" applyNumberFormat="1" applyProtection="1"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44" fontId="0" fillId="0" borderId="16" xfId="0" applyNumberFormat="1" applyBorder="1" applyProtection="1">
      <protection locked="0"/>
    </xf>
    <xf numFmtId="0" fontId="20" fillId="0" borderId="0" xfId="0" applyFont="1" applyProtection="1">
      <protection locked="0"/>
    </xf>
    <xf numFmtId="0" fontId="19" fillId="0" borderId="0" xfId="0" applyFont="1" applyAlignment="1" applyProtection="1">
      <alignment horizontal="left"/>
      <protection locked="0"/>
    </xf>
    <xf numFmtId="0" fontId="19" fillId="0" borderId="0" xfId="28" applyNumberFormat="1" applyFont="1" applyAlignment="1" applyProtection="1">
      <alignment horizontal="center"/>
      <protection locked="0"/>
    </xf>
    <xf numFmtId="44" fontId="20" fillId="0" borderId="0" xfId="28" applyFont="1" applyAlignment="1" applyProtection="1">
      <alignment horizontal="center"/>
      <protection locked="0"/>
    </xf>
    <xf numFmtId="44" fontId="19" fillId="0" borderId="0" xfId="28" applyFont="1" applyAlignment="1" applyProtection="1">
      <alignment horizontal="center"/>
      <protection locked="0"/>
    </xf>
    <xf numFmtId="9" fontId="20" fillId="0" borderId="0" xfId="40" applyFont="1" applyAlignment="1" applyProtection="1">
      <alignment horizontal="center"/>
      <protection locked="0"/>
    </xf>
    <xf numFmtId="9" fontId="19" fillId="0" borderId="0" xfId="40" applyFont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7" fontId="25" fillId="24" borderId="0" xfId="0" applyNumberFormat="1" applyFont="1" applyFill="1" applyAlignment="1">
      <alignment horizontal="left" vertical="center"/>
    </xf>
    <xf numFmtId="0" fontId="0" fillId="24" borderId="0" xfId="0" applyFill="1" applyAlignment="1">
      <alignment horizontal="center"/>
    </xf>
    <xf numFmtId="164" fontId="0" fillId="24" borderId="0" xfId="0" applyNumberFormat="1" applyFill="1" applyAlignment="1">
      <alignment horizontal="center"/>
    </xf>
    <xf numFmtId="9" fontId="0" fillId="24" borderId="0" xfId="0" applyNumberFormat="1" applyFill="1" applyAlignment="1">
      <alignment horizontal="center"/>
    </xf>
    <xf numFmtId="0" fontId="28" fillId="25" borderId="0" xfId="0" applyFont="1" applyFill="1" applyAlignment="1">
      <alignment horizontal="center"/>
    </xf>
    <xf numFmtId="0" fontId="0" fillId="25" borderId="0" xfId="0" applyFill="1"/>
    <xf numFmtId="7" fontId="0" fillId="25" borderId="0" xfId="0" applyNumberFormat="1" applyFill="1"/>
    <xf numFmtId="44" fontId="0" fillId="25" borderId="0" xfId="0" applyNumberFormat="1" applyFill="1"/>
    <xf numFmtId="44" fontId="28" fillId="25" borderId="0" xfId="0" applyNumberFormat="1" applyFont="1" applyFill="1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0" xfId="0" applyFont="1" applyBorder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 wrapText="1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0" xfId="28" applyNumberFormat="1" applyFont="1" applyBorder="1" applyAlignment="1" applyProtection="1">
      <alignment horizontal="center" vertical="center"/>
      <protection locked="0"/>
    </xf>
    <xf numFmtId="44" fontId="1" fillId="0" borderId="10" xfId="28" applyFont="1" applyBorder="1" applyProtection="1">
      <protection locked="0"/>
    </xf>
    <xf numFmtId="10" fontId="1" fillId="0" borderId="10" xfId="40" applyNumberFormat="1" applyFont="1" applyBorder="1" applyAlignment="1" applyProtection="1">
      <alignment horizontal="center"/>
      <protection locked="0"/>
    </xf>
    <xf numFmtId="9" fontId="1" fillId="0" borderId="10" xfId="40" applyFont="1" applyBorder="1" applyAlignment="1" applyProtection="1">
      <alignment horizontal="center"/>
      <protection locked="0"/>
    </xf>
    <xf numFmtId="164" fontId="1" fillId="0" borderId="10" xfId="0" applyNumberFormat="1" applyFont="1" applyBorder="1" applyAlignment="1" applyProtection="1">
      <alignment horizontal="right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1" fillId="0" borderId="10" xfId="0" applyFont="1" applyBorder="1"/>
    <xf numFmtId="0" fontId="1" fillId="0" borderId="10" xfId="0" applyFont="1" applyBorder="1" applyProtection="1">
      <protection locked="0"/>
    </xf>
    <xf numFmtId="0" fontId="1" fillId="0" borderId="10" xfId="0" applyFont="1" applyBorder="1" applyAlignment="1" applyProtection="1">
      <alignment wrapText="1"/>
      <protection locked="0"/>
    </xf>
    <xf numFmtId="164" fontId="1" fillId="0" borderId="10" xfId="0" applyNumberFormat="1" applyFont="1" applyBorder="1" applyAlignment="1">
      <alignment horizontal="right"/>
    </xf>
    <xf numFmtId="9" fontId="1" fillId="0" borderId="10" xfId="4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wrapText="1"/>
    </xf>
    <xf numFmtId="8" fontId="1" fillId="0" borderId="10" xfId="28" applyNumberFormat="1" applyFont="1" applyBorder="1" applyProtection="1">
      <protection locked="0"/>
    </xf>
    <xf numFmtId="8" fontId="1" fillId="0" borderId="10" xfId="0" applyNumberFormat="1" applyFont="1" applyBorder="1" applyProtection="1">
      <protection locked="0"/>
    </xf>
    <xf numFmtId="0" fontId="29" fillId="0" borderId="10" xfId="44" applyBorder="1" applyAlignment="1" applyProtection="1">
      <alignment horizontal="center"/>
      <protection locked="0"/>
    </xf>
    <xf numFmtId="0" fontId="23" fillId="0" borderId="0" xfId="0" applyFont="1" applyAlignment="1" applyProtection="1">
      <alignment horizontal="center"/>
      <protection locked="0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" xfId="28" builtinId="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Hyperlink" xfId="4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F21DB-151F-49B4-BCD8-D0CBF33C7455}">
  <sheetPr>
    <pageSetUpPr fitToPage="1"/>
  </sheetPr>
  <dimension ref="A1:P43"/>
  <sheetViews>
    <sheetView topLeftCell="A6" workbookViewId="0">
      <selection activeCell="D31" sqref="D31"/>
    </sheetView>
  </sheetViews>
  <sheetFormatPr defaultRowHeight="12.45" x14ac:dyDescent="0.2"/>
  <cols>
    <col min="1" max="1" width="33.875" customWidth="1"/>
    <col min="2" max="2" width="9.125" hidden="1" customWidth="1"/>
    <col min="3" max="3" width="5.125" customWidth="1"/>
    <col min="4" max="4" width="6.375" customWidth="1"/>
    <col min="5" max="5" width="20.875" customWidth="1"/>
    <col min="6" max="6" width="17.25" customWidth="1"/>
    <col min="9" max="9" width="23.375" customWidth="1"/>
    <col min="10" max="10" width="16.125" customWidth="1"/>
    <col min="11" max="11" width="16.25" customWidth="1"/>
    <col min="13" max="13" width="15" customWidth="1"/>
    <col min="14" max="14" width="30.125" customWidth="1"/>
  </cols>
  <sheetData>
    <row r="1" spans="1:16" s="39" customFormat="1" x14ac:dyDescent="0.2">
      <c r="A1" s="38" t="s">
        <v>33</v>
      </c>
      <c r="D1" s="40"/>
      <c r="E1" s="40"/>
      <c r="F1" s="41"/>
    </row>
    <row r="2" spans="1:16" s="39" customFormat="1" x14ac:dyDescent="0.2">
      <c r="A2" s="38" t="s">
        <v>34</v>
      </c>
      <c r="D2" s="40"/>
      <c r="E2" s="40"/>
      <c r="F2" s="41"/>
    </row>
    <row r="3" spans="1:16" s="39" customFormat="1" x14ac:dyDescent="0.2">
      <c r="A3" s="38" t="s">
        <v>35</v>
      </c>
      <c r="D3" s="40"/>
      <c r="E3" s="40"/>
      <c r="F3" s="41"/>
    </row>
    <row r="4" spans="1:16" s="39" customFormat="1" x14ac:dyDescent="0.2">
      <c r="A4" s="38" t="s">
        <v>36</v>
      </c>
      <c r="D4" s="40"/>
      <c r="E4" s="40"/>
      <c r="F4" s="41"/>
    </row>
    <row r="5" spans="1:16" s="39" customFormat="1" x14ac:dyDescent="0.2">
      <c r="A5" s="38" t="s">
        <v>37</v>
      </c>
      <c r="D5" s="40"/>
      <c r="E5" s="40"/>
      <c r="F5" s="41"/>
    </row>
    <row r="6" spans="1:16" s="39" customFormat="1" x14ac:dyDescent="0.2">
      <c r="A6" s="38" t="s">
        <v>38</v>
      </c>
      <c r="D6" s="40"/>
      <c r="E6" s="40"/>
      <c r="F6" s="41"/>
    </row>
    <row r="7" spans="1:16" s="39" customFormat="1" x14ac:dyDescent="0.2">
      <c r="A7" s="38" t="s">
        <v>32</v>
      </c>
      <c r="D7" s="40"/>
      <c r="E7" s="40"/>
      <c r="F7" s="41"/>
    </row>
    <row r="8" spans="1:16" s="39" customFormat="1" x14ac:dyDescent="0.2">
      <c r="A8" s="38" t="s">
        <v>30</v>
      </c>
      <c r="D8" s="40"/>
      <c r="E8" s="40"/>
      <c r="F8" s="41"/>
    </row>
    <row r="9" spans="1:16" s="39" customFormat="1" x14ac:dyDescent="0.2">
      <c r="A9" s="38" t="s">
        <v>31</v>
      </c>
      <c r="D9" s="40"/>
      <c r="E9" s="40"/>
      <c r="F9" s="41"/>
    </row>
    <row r="10" spans="1:16" s="43" customFormat="1" ht="13.1" x14ac:dyDescent="0.25">
      <c r="A10" s="42"/>
      <c r="C10" s="44"/>
      <c r="D10" s="45"/>
      <c r="E10" s="45"/>
      <c r="F10" s="46"/>
    </row>
    <row r="11" spans="1:16" ht="13.1" x14ac:dyDescent="0.25">
      <c r="A11" s="30"/>
      <c r="B11" s="1"/>
      <c r="C11" s="1"/>
      <c r="D11" s="2"/>
      <c r="E11" s="33" t="s">
        <v>0</v>
      </c>
      <c r="F11" s="33" t="s">
        <v>1</v>
      </c>
      <c r="G11" s="4"/>
      <c r="H11" s="3"/>
      <c r="I11" s="33" t="s">
        <v>2</v>
      </c>
      <c r="J11" s="35"/>
      <c r="K11" s="33"/>
      <c r="L11" s="33" t="s">
        <v>3</v>
      </c>
      <c r="M11" s="47"/>
      <c r="N11" s="48"/>
      <c r="O11" s="49"/>
      <c r="P11" s="49"/>
    </row>
    <row r="12" spans="1:16" ht="13.1" x14ac:dyDescent="0.25">
      <c r="A12" s="50"/>
      <c r="B12" s="5"/>
      <c r="C12" s="6"/>
      <c r="D12" s="2"/>
      <c r="E12" s="33" t="s">
        <v>4</v>
      </c>
      <c r="F12" s="33" t="s">
        <v>5</v>
      </c>
      <c r="G12" s="35" t="s">
        <v>6</v>
      </c>
      <c r="H12" s="33" t="s">
        <v>6</v>
      </c>
      <c r="I12" s="33" t="s">
        <v>7</v>
      </c>
      <c r="J12" s="35" t="s">
        <v>8</v>
      </c>
      <c r="K12" s="33" t="s">
        <v>9</v>
      </c>
      <c r="L12" s="33" t="s">
        <v>10</v>
      </c>
      <c r="M12" s="37" t="s">
        <v>11</v>
      </c>
      <c r="N12" s="48"/>
      <c r="O12" s="49"/>
      <c r="P12" s="49"/>
    </row>
    <row r="13" spans="1:16" ht="13.1" x14ac:dyDescent="0.25">
      <c r="A13" s="70" t="s">
        <v>12</v>
      </c>
      <c r="B13" s="70"/>
      <c r="C13" s="31" t="s">
        <v>13</v>
      </c>
      <c r="D13" s="32" t="s">
        <v>14</v>
      </c>
      <c r="E13" s="34" t="s">
        <v>15</v>
      </c>
      <c r="F13" s="34" t="s">
        <v>4</v>
      </c>
      <c r="G13" s="36" t="s">
        <v>16</v>
      </c>
      <c r="H13" s="34" t="s">
        <v>17</v>
      </c>
      <c r="I13" s="34" t="s">
        <v>6</v>
      </c>
      <c r="J13" s="36" t="s">
        <v>18</v>
      </c>
      <c r="K13" s="34" t="s">
        <v>8</v>
      </c>
      <c r="L13" s="34" t="s">
        <v>19</v>
      </c>
      <c r="M13" s="34" t="s">
        <v>20</v>
      </c>
      <c r="N13" s="37" t="s">
        <v>21</v>
      </c>
      <c r="O13" s="49"/>
      <c r="P13" s="49"/>
    </row>
    <row r="14" spans="1:16" x14ac:dyDescent="0.2">
      <c r="A14" s="51" t="s">
        <v>52</v>
      </c>
      <c r="B14" s="52"/>
      <c r="C14" s="53">
        <v>0</v>
      </c>
      <c r="D14" s="54">
        <v>3</v>
      </c>
      <c r="E14" s="67">
        <v>219.99</v>
      </c>
      <c r="F14" s="11">
        <f>SUM(D14*E14)</f>
        <v>659.97</v>
      </c>
      <c r="G14" s="56">
        <v>7.7499999999999999E-2</v>
      </c>
      <c r="H14" s="7">
        <f>SUM(F14*G14)</f>
        <v>51.147675</v>
      </c>
      <c r="I14" s="7">
        <f>SUM(F14+H14)</f>
        <v>711.11767500000008</v>
      </c>
      <c r="J14" s="57"/>
      <c r="K14" s="8">
        <f>SUM(C14*J14*(I14))</f>
        <v>0</v>
      </c>
      <c r="L14" s="9">
        <f>SUM(I14-K14)</f>
        <v>711.11767500000008</v>
      </c>
      <c r="M14" s="58">
        <f>SUM(L14)</f>
        <v>711.11767500000008</v>
      </c>
      <c r="N14" s="59"/>
      <c r="O14" s="60"/>
      <c r="P14" s="60"/>
    </row>
    <row r="15" spans="1:16" x14ac:dyDescent="0.2">
      <c r="A15" s="51" t="s">
        <v>53</v>
      </c>
      <c r="B15" s="52"/>
      <c r="C15" s="53">
        <v>0</v>
      </c>
      <c r="D15" s="54">
        <v>2</v>
      </c>
      <c r="E15" s="67">
        <v>386.24</v>
      </c>
      <c r="F15" s="11">
        <f t="shared" ref="F15:F26" si="0">SUM(D15*E15)</f>
        <v>772.48</v>
      </c>
      <c r="G15" s="56">
        <v>7.7499999999999999E-2</v>
      </c>
      <c r="H15" s="7">
        <f t="shared" ref="H15:H26" si="1">SUM(F15*G15)</f>
        <v>59.867200000000004</v>
      </c>
      <c r="I15" s="7">
        <f t="shared" ref="I15:I26" si="2">SUM(F15+H15)</f>
        <v>832.34720000000004</v>
      </c>
      <c r="J15" s="57"/>
      <c r="K15" s="8">
        <f t="shared" ref="K15:K26" si="3">SUM(C15*J15*(I15))</f>
        <v>0</v>
      </c>
      <c r="L15" s="9">
        <f t="shared" ref="L15:L26" si="4">SUM(I15-K15)</f>
        <v>832.34720000000004</v>
      </c>
      <c r="M15" s="58">
        <f t="shared" ref="M15:M26" si="5">SUM(L15)</f>
        <v>832.34720000000004</v>
      </c>
      <c r="N15" s="59"/>
      <c r="O15" s="60"/>
      <c r="P15" s="60"/>
    </row>
    <row r="16" spans="1:16" x14ac:dyDescent="0.2">
      <c r="A16" s="51" t="s">
        <v>54</v>
      </c>
      <c r="B16" s="52"/>
      <c r="C16" s="53">
        <v>0</v>
      </c>
      <c r="D16" s="54">
        <v>1</v>
      </c>
      <c r="E16" s="67">
        <v>1941</v>
      </c>
      <c r="F16" s="11">
        <f t="shared" si="0"/>
        <v>1941</v>
      </c>
      <c r="G16" s="56">
        <v>7.7499999999999999E-2</v>
      </c>
      <c r="H16" s="7">
        <f t="shared" si="1"/>
        <v>150.42750000000001</v>
      </c>
      <c r="I16" s="7">
        <f t="shared" si="2"/>
        <v>2091.4274999999998</v>
      </c>
      <c r="J16" s="57"/>
      <c r="K16" s="8">
        <f t="shared" si="3"/>
        <v>0</v>
      </c>
      <c r="L16" s="9">
        <f t="shared" si="4"/>
        <v>2091.4274999999998</v>
      </c>
      <c r="M16" s="58">
        <f t="shared" si="5"/>
        <v>2091.4274999999998</v>
      </c>
      <c r="N16" s="59"/>
      <c r="O16" s="60"/>
      <c r="P16" s="60"/>
    </row>
    <row r="17" spans="1:16" x14ac:dyDescent="0.2">
      <c r="A17" s="51" t="s">
        <v>55</v>
      </c>
      <c r="B17" s="52"/>
      <c r="C17" s="53">
        <v>1</v>
      </c>
      <c r="D17" s="54">
        <v>2</v>
      </c>
      <c r="E17" s="67">
        <v>159.99</v>
      </c>
      <c r="F17" s="11">
        <f t="shared" si="0"/>
        <v>319.98</v>
      </c>
      <c r="G17" s="56">
        <v>7.7499999999999999E-2</v>
      </c>
      <c r="H17" s="7">
        <f t="shared" si="1"/>
        <v>24.798450000000003</v>
      </c>
      <c r="I17" s="7">
        <f t="shared" si="2"/>
        <v>344.77845000000002</v>
      </c>
      <c r="J17" s="57">
        <v>0.1</v>
      </c>
      <c r="K17" s="8">
        <f t="shared" si="3"/>
        <v>34.477845000000002</v>
      </c>
      <c r="L17" s="9">
        <f t="shared" si="4"/>
        <v>310.30060500000002</v>
      </c>
      <c r="M17" s="58">
        <f t="shared" si="5"/>
        <v>310.30060500000002</v>
      </c>
      <c r="N17" s="59"/>
      <c r="O17" s="60"/>
      <c r="P17" s="60"/>
    </row>
    <row r="18" spans="1:16" x14ac:dyDescent="0.2">
      <c r="A18" s="51" t="s">
        <v>56</v>
      </c>
      <c r="B18" s="52"/>
      <c r="C18" s="53">
        <v>1</v>
      </c>
      <c r="D18" s="54">
        <v>2</v>
      </c>
      <c r="E18" s="67">
        <v>619.99</v>
      </c>
      <c r="F18" s="11">
        <f t="shared" si="0"/>
        <v>1239.98</v>
      </c>
      <c r="G18" s="56">
        <v>7.7499999999999999E-2</v>
      </c>
      <c r="H18" s="7">
        <f t="shared" si="1"/>
        <v>96.09845</v>
      </c>
      <c r="I18" s="7">
        <f t="shared" si="2"/>
        <v>1336.07845</v>
      </c>
      <c r="J18" s="57">
        <v>0.1</v>
      </c>
      <c r="K18" s="8">
        <f t="shared" si="3"/>
        <v>133.607845</v>
      </c>
      <c r="L18" s="9">
        <f t="shared" si="4"/>
        <v>1202.470605</v>
      </c>
      <c r="M18" s="58">
        <f t="shared" si="5"/>
        <v>1202.470605</v>
      </c>
      <c r="N18" s="59"/>
      <c r="O18" s="60"/>
      <c r="P18" s="60"/>
    </row>
    <row r="19" spans="1:16" x14ac:dyDescent="0.2">
      <c r="A19" s="51" t="s">
        <v>57</v>
      </c>
      <c r="B19" s="52"/>
      <c r="C19" s="53">
        <v>0</v>
      </c>
      <c r="D19" s="54">
        <v>2</v>
      </c>
      <c r="E19" s="67">
        <v>519.99</v>
      </c>
      <c r="F19" s="11">
        <f t="shared" si="0"/>
        <v>1039.98</v>
      </c>
      <c r="G19" s="56">
        <v>7.7499999999999999E-2</v>
      </c>
      <c r="H19" s="7">
        <f t="shared" si="1"/>
        <v>80.59845</v>
      </c>
      <c r="I19" s="7">
        <f t="shared" si="2"/>
        <v>1120.57845</v>
      </c>
      <c r="J19" s="57"/>
      <c r="K19" s="8">
        <f t="shared" si="3"/>
        <v>0</v>
      </c>
      <c r="L19" s="9">
        <f t="shared" si="4"/>
        <v>1120.57845</v>
      </c>
      <c r="M19" s="58">
        <f t="shared" si="5"/>
        <v>1120.57845</v>
      </c>
      <c r="N19" s="59"/>
      <c r="O19" s="60"/>
      <c r="P19" s="60"/>
    </row>
    <row r="20" spans="1:16" x14ac:dyDescent="0.2">
      <c r="A20" s="51" t="s">
        <v>58</v>
      </c>
      <c r="B20" s="52"/>
      <c r="C20" s="53">
        <v>0</v>
      </c>
      <c r="D20" s="54">
        <v>5</v>
      </c>
      <c r="E20" s="67">
        <v>169.99</v>
      </c>
      <c r="F20" s="11">
        <f t="shared" si="0"/>
        <v>849.95</v>
      </c>
      <c r="G20" s="56">
        <v>7.7499999999999999E-2</v>
      </c>
      <c r="H20" s="7">
        <f t="shared" si="1"/>
        <v>65.871125000000006</v>
      </c>
      <c r="I20" s="7">
        <f t="shared" si="2"/>
        <v>915.82112500000005</v>
      </c>
      <c r="J20" s="57"/>
      <c r="K20" s="8">
        <f t="shared" si="3"/>
        <v>0</v>
      </c>
      <c r="L20" s="9">
        <f t="shared" si="4"/>
        <v>915.82112500000005</v>
      </c>
      <c r="M20" s="58">
        <f t="shared" si="5"/>
        <v>915.82112500000005</v>
      </c>
      <c r="N20" s="59"/>
      <c r="O20" s="60"/>
      <c r="P20" s="60"/>
    </row>
    <row r="21" spans="1:16" x14ac:dyDescent="0.2">
      <c r="A21" s="51" t="s">
        <v>59</v>
      </c>
      <c r="B21" s="52"/>
      <c r="C21" s="53">
        <v>0</v>
      </c>
      <c r="D21" s="54">
        <v>2</v>
      </c>
      <c r="E21" s="67">
        <v>105</v>
      </c>
      <c r="F21" s="11">
        <f t="shared" si="0"/>
        <v>210</v>
      </c>
      <c r="G21" s="56">
        <v>7.7499999999999999E-2</v>
      </c>
      <c r="H21" s="7">
        <f t="shared" si="1"/>
        <v>16.274999999999999</v>
      </c>
      <c r="I21" s="7">
        <f t="shared" si="2"/>
        <v>226.27500000000001</v>
      </c>
      <c r="J21" s="57"/>
      <c r="K21" s="8">
        <f t="shared" si="3"/>
        <v>0</v>
      </c>
      <c r="L21" s="9">
        <f t="shared" si="4"/>
        <v>226.27500000000001</v>
      </c>
      <c r="M21" s="58">
        <f t="shared" si="5"/>
        <v>226.27500000000001</v>
      </c>
      <c r="N21" s="59"/>
      <c r="O21" s="60"/>
      <c r="P21" s="60"/>
    </row>
    <row r="22" spans="1:16" x14ac:dyDescent="0.2">
      <c r="A22" s="51" t="s">
        <v>60</v>
      </c>
      <c r="B22" s="52"/>
      <c r="C22" s="53">
        <v>0</v>
      </c>
      <c r="D22" s="54">
        <v>1</v>
      </c>
      <c r="E22" s="67">
        <v>363.99</v>
      </c>
      <c r="F22" s="11">
        <f t="shared" si="0"/>
        <v>363.99</v>
      </c>
      <c r="G22" s="56">
        <v>7.7499999999999999E-2</v>
      </c>
      <c r="H22" s="7">
        <f t="shared" si="1"/>
        <v>28.209225</v>
      </c>
      <c r="I22" s="7">
        <f t="shared" si="2"/>
        <v>392.19922500000001</v>
      </c>
      <c r="J22" s="57"/>
      <c r="K22" s="8">
        <f t="shared" si="3"/>
        <v>0</v>
      </c>
      <c r="L22" s="9">
        <f t="shared" si="4"/>
        <v>392.19922500000001</v>
      </c>
      <c r="M22" s="58">
        <f t="shared" si="5"/>
        <v>392.19922500000001</v>
      </c>
      <c r="N22" s="59"/>
      <c r="O22" s="60"/>
      <c r="P22" s="60"/>
    </row>
    <row r="23" spans="1:16" x14ac:dyDescent="0.2">
      <c r="A23" s="51" t="s">
        <v>61</v>
      </c>
      <c r="B23" s="52"/>
      <c r="C23" s="53">
        <v>1</v>
      </c>
      <c r="D23" s="54">
        <v>2</v>
      </c>
      <c r="E23" s="67">
        <v>486.99</v>
      </c>
      <c r="F23" s="11">
        <f t="shared" si="0"/>
        <v>973.98</v>
      </c>
      <c r="G23" s="56">
        <v>7.7499999999999999E-2</v>
      </c>
      <c r="H23" s="7">
        <f t="shared" si="1"/>
        <v>75.483450000000005</v>
      </c>
      <c r="I23" s="7">
        <f t="shared" si="2"/>
        <v>1049.46345</v>
      </c>
      <c r="J23" s="57">
        <v>0.1</v>
      </c>
      <c r="K23" s="8">
        <f t="shared" si="3"/>
        <v>104.94634500000001</v>
      </c>
      <c r="L23" s="9">
        <f t="shared" si="4"/>
        <v>944.5171049999999</v>
      </c>
      <c r="M23" s="58">
        <f t="shared" si="5"/>
        <v>944.5171049999999</v>
      </c>
      <c r="N23" s="59"/>
      <c r="O23" s="60"/>
      <c r="P23" s="60"/>
    </row>
    <row r="24" spans="1:16" x14ac:dyDescent="0.2">
      <c r="A24" s="51" t="s">
        <v>62</v>
      </c>
      <c r="B24" s="52"/>
      <c r="C24" s="53">
        <v>1</v>
      </c>
      <c r="D24" s="54">
        <v>2</v>
      </c>
      <c r="E24" s="67">
        <v>375.99</v>
      </c>
      <c r="F24" s="11">
        <f t="shared" si="0"/>
        <v>751.98</v>
      </c>
      <c r="G24" s="56">
        <v>7.7499999999999999E-2</v>
      </c>
      <c r="H24" s="7">
        <f t="shared" si="1"/>
        <v>58.278449999999999</v>
      </c>
      <c r="I24" s="7">
        <f t="shared" si="2"/>
        <v>810.25845000000004</v>
      </c>
      <c r="J24" s="57">
        <v>0.1</v>
      </c>
      <c r="K24" s="8">
        <f t="shared" si="3"/>
        <v>81.025845000000004</v>
      </c>
      <c r="L24" s="9">
        <f t="shared" si="4"/>
        <v>729.23260500000004</v>
      </c>
      <c r="M24" s="58">
        <f t="shared" si="5"/>
        <v>729.23260500000004</v>
      </c>
      <c r="N24" s="69"/>
      <c r="O24" s="60"/>
      <c r="P24" s="60"/>
    </row>
    <row r="25" spans="1:16" x14ac:dyDescent="0.2">
      <c r="A25" s="51" t="s">
        <v>63</v>
      </c>
      <c r="B25" s="52"/>
      <c r="C25" s="53">
        <v>0</v>
      </c>
      <c r="D25" s="54">
        <v>1</v>
      </c>
      <c r="E25" s="67">
        <v>75</v>
      </c>
      <c r="F25" s="11">
        <f t="shared" si="0"/>
        <v>75</v>
      </c>
      <c r="G25" s="56">
        <v>7.7499999999999999E-2</v>
      </c>
      <c r="H25" s="7">
        <f t="shared" si="1"/>
        <v>5.8125</v>
      </c>
      <c r="I25" s="7">
        <f t="shared" si="2"/>
        <v>80.8125</v>
      </c>
      <c r="J25" s="57"/>
      <c r="K25" s="8">
        <f t="shared" si="3"/>
        <v>0</v>
      </c>
      <c r="L25" s="9">
        <f t="shared" si="4"/>
        <v>80.8125</v>
      </c>
      <c r="M25" s="58">
        <f t="shared" si="5"/>
        <v>80.8125</v>
      </c>
      <c r="N25" s="59"/>
      <c r="O25" s="60"/>
      <c r="P25" s="60"/>
    </row>
    <row r="26" spans="1:16" x14ac:dyDescent="0.2">
      <c r="A26" s="51" t="s">
        <v>64</v>
      </c>
      <c r="B26" s="52"/>
      <c r="C26" s="53">
        <v>0</v>
      </c>
      <c r="D26" s="54">
        <v>1</v>
      </c>
      <c r="E26" s="67">
        <v>75</v>
      </c>
      <c r="F26" s="11">
        <f t="shared" si="0"/>
        <v>75</v>
      </c>
      <c r="G26" s="56">
        <v>7.7499999999999999E-2</v>
      </c>
      <c r="H26" s="7">
        <f t="shared" si="1"/>
        <v>5.8125</v>
      </c>
      <c r="I26" s="7">
        <f t="shared" si="2"/>
        <v>80.8125</v>
      </c>
      <c r="J26" s="57"/>
      <c r="K26" s="8">
        <f t="shared" si="3"/>
        <v>0</v>
      </c>
      <c r="L26" s="9">
        <f t="shared" si="4"/>
        <v>80.8125</v>
      </c>
      <c r="M26" s="58">
        <f t="shared" si="5"/>
        <v>80.8125</v>
      </c>
      <c r="N26" s="59"/>
      <c r="O26" s="60"/>
      <c r="P26" s="60"/>
    </row>
    <row r="27" spans="1:16" ht="12.8" customHeight="1" x14ac:dyDescent="0.2">
      <c r="A27" s="60"/>
      <c r="B27" s="60"/>
      <c r="C27" s="60"/>
      <c r="D27" s="60"/>
      <c r="E27" s="60"/>
      <c r="F27" s="11"/>
      <c r="G27" s="60"/>
      <c r="H27" s="63"/>
      <c r="I27" s="63"/>
      <c r="J27" s="64"/>
      <c r="K27" s="63"/>
      <c r="L27" s="63"/>
      <c r="M27" s="58"/>
      <c r="N27" s="65"/>
      <c r="O27" s="60"/>
      <c r="P27" s="60"/>
    </row>
    <row r="28" spans="1:16" ht="12.8" customHeight="1" x14ac:dyDescent="0.2">
      <c r="A28" s="60"/>
      <c r="B28" s="60"/>
      <c r="C28" s="60"/>
      <c r="D28" s="60"/>
      <c r="E28" s="60"/>
      <c r="F28" s="11"/>
      <c r="G28" s="60"/>
      <c r="H28" s="63"/>
      <c r="I28" s="63"/>
      <c r="J28" s="64"/>
      <c r="K28" s="63"/>
      <c r="L28" s="63"/>
      <c r="M28" s="58"/>
      <c r="N28" s="65"/>
      <c r="O28" s="60"/>
      <c r="P28" s="60"/>
    </row>
    <row r="29" spans="1:16" ht="12.8" customHeight="1" x14ac:dyDescent="0.25">
      <c r="A29" s="60"/>
      <c r="B29" s="66"/>
      <c r="C29" s="60"/>
      <c r="D29" s="60"/>
      <c r="E29" s="60"/>
      <c r="F29" s="11"/>
      <c r="G29" s="64"/>
      <c r="H29" s="7">
        <f>SUM(H14:H26)</f>
        <v>718.67997500000001</v>
      </c>
      <c r="I29" s="7">
        <f>SUM(I14:I26)</f>
        <v>9991.969975</v>
      </c>
      <c r="J29" s="64"/>
      <c r="K29" s="9">
        <f>SUM(K14:K26)</f>
        <v>354.05788000000001</v>
      </c>
      <c r="L29" s="9">
        <f>SUM(L14:L26)</f>
        <v>9637.9120949999997</v>
      </c>
      <c r="M29" s="58">
        <f>SUM(M14:M26)</f>
        <v>9637.9120949999997</v>
      </c>
      <c r="N29" s="65"/>
      <c r="O29" s="10" t="s">
        <v>22</v>
      </c>
      <c r="P29" s="60"/>
    </row>
    <row r="30" spans="1:16" ht="13.1" thickBot="1" x14ac:dyDescent="0.25"/>
    <row r="31" spans="1:16" x14ac:dyDescent="0.2">
      <c r="I31" s="12"/>
      <c r="J31" s="16"/>
      <c r="K31" s="21" t="s">
        <v>23</v>
      </c>
      <c r="L31" s="22"/>
      <c r="M31" s="23"/>
    </row>
    <row r="32" spans="1:16" x14ac:dyDescent="0.2">
      <c r="I32" s="15" t="s">
        <v>24</v>
      </c>
      <c r="J32" s="18">
        <f>SUM(I14:I26)</f>
        <v>9991.969975</v>
      </c>
      <c r="K32" s="24"/>
      <c r="L32" s="24"/>
      <c r="M32" s="25"/>
    </row>
    <row r="33" spans="9:13" x14ac:dyDescent="0.2">
      <c r="I33" s="14"/>
      <c r="J33" s="19"/>
      <c r="K33" s="24"/>
      <c r="L33" s="24"/>
      <c r="M33" s="25"/>
    </row>
    <row r="34" spans="9:13" x14ac:dyDescent="0.2">
      <c r="I34" s="15" t="s">
        <v>25</v>
      </c>
      <c r="J34" s="18">
        <f>SUM(K14:K26)</f>
        <v>354.05788000000001</v>
      </c>
      <c r="K34" s="24"/>
      <c r="L34" s="24"/>
      <c r="M34" s="25"/>
    </row>
    <row r="35" spans="9:13" x14ac:dyDescent="0.2">
      <c r="I35" s="14"/>
      <c r="J35" s="19"/>
      <c r="K35" s="24"/>
      <c r="L35" s="24"/>
      <c r="M35" s="25"/>
    </row>
    <row r="36" spans="9:13" x14ac:dyDescent="0.2">
      <c r="I36" s="15" t="s">
        <v>26</v>
      </c>
      <c r="J36" s="18">
        <f>SUM(L14:L26)</f>
        <v>9637.9120949999997</v>
      </c>
      <c r="K36" s="24"/>
      <c r="L36" s="24"/>
      <c r="M36" s="25"/>
    </row>
    <row r="37" spans="9:13" x14ac:dyDescent="0.2">
      <c r="I37" s="14"/>
      <c r="J37" s="19"/>
      <c r="K37" s="24"/>
      <c r="L37" s="24"/>
      <c r="M37" s="25"/>
    </row>
    <row r="38" spans="9:13" x14ac:dyDescent="0.2">
      <c r="I38" s="15" t="s">
        <v>27</v>
      </c>
      <c r="J38" s="18">
        <f>SUM(M14:M26)</f>
        <v>9637.9120949999997</v>
      </c>
      <c r="K38" s="26"/>
      <c r="L38" s="24"/>
      <c r="M38" s="25"/>
    </row>
    <row r="39" spans="9:13" x14ac:dyDescent="0.2">
      <c r="I39" s="13"/>
      <c r="J39" s="19"/>
      <c r="K39" s="24"/>
      <c r="L39" s="24"/>
      <c r="M39" s="25"/>
    </row>
    <row r="40" spans="9:13" x14ac:dyDescent="0.2">
      <c r="I40" s="15" t="s">
        <v>28</v>
      </c>
      <c r="J40" s="29">
        <v>2500</v>
      </c>
      <c r="K40" s="24"/>
      <c r="L40" s="24"/>
      <c r="M40" s="25"/>
    </row>
    <row r="41" spans="9:13" x14ac:dyDescent="0.2">
      <c r="I41" s="13"/>
      <c r="J41" s="19"/>
      <c r="K41" s="24"/>
      <c r="L41" s="24"/>
      <c r="M41" s="25"/>
    </row>
    <row r="42" spans="9:13" ht="13.1" thickBot="1" x14ac:dyDescent="0.25">
      <c r="I42" s="17" t="s">
        <v>29</v>
      </c>
      <c r="J42" s="20">
        <f>SUM(J38-J40)</f>
        <v>7137.9120949999997</v>
      </c>
      <c r="K42" s="27"/>
      <c r="L42" s="27"/>
      <c r="M42" s="28"/>
    </row>
    <row r="43" spans="9:13" ht="13.1" thickTop="1" x14ac:dyDescent="0.2"/>
  </sheetData>
  <sheetProtection formatCells="0" formatColumns="0" formatRows="0" insertColumns="0" insertRows="0" deleteColumns="0" deleteRows="0"/>
  <mergeCells count="1">
    <mergeCell ref="A13:B13"/>
  </mergeCells>
  <pageMargins left="0.75" right="0.75" top="1" bottom="1" header="0.5" footer="0.5"/>
  <pageSetup scale="53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6"/>
  <sheetViews>
    <sheetView topLeftCell="A13" workbookViewId="0">
      <selection activeCell="N14" sqref="N14"/>
    </sheetView>
  </sheetViews>
  <sheetFormatPr defaultRowHeight="12.45" x14ac:dyDescent="0.2"/>
  <cols>
    <col min="1" max="1" width="33.875" customWidth="1"/>
    <col min="2" max="2" width="9.125" hidden="1" customWidth="1"/>
    <col min="3" max="3" width="5.125" customWidth="1"/>
    <col min="4" max="4" width="6.375" customWidth="1"/>
    <col min="5" max="5" width="20.875" customWidth="1"/>
    <col min="6" max="6" width="17.25" customWidth="1"/>
    <col min="9" max="9" width="23.375" customWidth="1"/>
    <col min="10" max="10" width="16.125" customWidth="1"/>
    <col min="11" max="11" width="16.25" customWidth="1"/>
    <col min="13" max="13" width="15" customWidth="1"/>
    <col min="14" max="14" width="30.125" customWidth="1"/>
  </cols>
  <sheetData>
    <row r="1" spans="1:16" s="39" customFormat="1" x14ac:dyDescent="0.2">
      <c r="A1" s="38" t="s">
        <v>33</v>
      </c>
      <c r="D1" s="40"/>
      <c r="E1" s="40"/>
      <c r="F1" s="41"/>
    </row>
    <row r="2" spans="1:16" s="39" customFormat="1" x14ac:dyDescent="0.2">
      <c r="A2" s="38" t="s">
        <v>34</v>
      </c>
      <c r="D2" s="40"/>
      <c r="E2" s="40"/>
      <c r="F2" s="41"/>
    </row>
    <row r="3" spans="1:16" s="39" customFormat="1" x14ac:dyDescent="0.2">
      <c r="A3" s="38" t="s">
        <v>35</v>
      </c>
      <c r="D3" s="40"/>
      <c r="E3" s="40"/>
      <c r="F3" s="41"/>
    </row>
    <row r="4" spans="1:16" s="39" customFormat="1" x14ac:dyDescent="0.2">
      <c r="A4" s="38" t="s">
        <v>36</v>
      </c>
      <c r="D4" s="40"/>
      <c r="E4" s="40"/>
      <c r="F4" s="41"/>
    </row>
    <row r="5" spans="1:16" s="39" customFormat="1" x14ac:dyDescent="0.2">
      <c r="A5" s="38" t="s">
        <v>37</v>
      </c>
      <c r="D5" s="40"/>
      <c r="E5" s="40"/>
      <c r="F5" s="41"/>
    </row>
    <row r="6" spans="1:16" s="39" customFormat="1" x14ac:dyDescent="0.2">
      <c r="A6" s="38" t="s">
        <v>38</v>
      </c>
      <c r="D6" s="40"/>
      <c r="E6" s="40"/>
      <c r="F6" s="41"/>
    </row>
    <row r="7" spans="1:16" s="39" customFormat="1" x14ac:dyDescent="0.2">
      <c r="A7" s="38" t="s">
        <v>32</v>
      </c>
      <c r="D7" s="40"/>
      <c r="E7" s="40"/>
      <c r="F7" s="41"/>
    </row>
    <row r="8" spans="1:16" s="39" customFormat="1" x14ac:dyDescent="0.2">
      <c r="A8" s="38" t="s">
        <v>30</v>
      </c>
      <c r="D8" s="40"/>
      <c r="E8" s="40"/>
      <c r="F8" s="41"/>
    </row>
    <row r="9" spans="1:16" s="39" customFormat="1" x14ac:dyDescent="0.2">
      <c r="A9" s="38" t="s">
        <v>31</v>
      </c>
      <c r="D9" s="40"/>
      <c r="E9" s="40"/>
      <c r="F9" s="41"/>
    </row>
    <row r="10" spans="1:16" s="43" customFormat="1" ht="13.1" x14ac:dyDescent="0.25">
      <c r="A10" s="42"/>
      <c r="C10" s="44"/>
      <c r="D10" s="45"/>
      <c r="E10" s="45"/>
      <c r="F10" s="46"/>
    </row>
    <row r="11" spans="1:16" ht="13.1" x14ac:dyDescent="0.25">
      <c r="A11" s="30"/>
      <c r="B11" s="1"/>
      <c r="C11" s="1"/>
      <c r="D11" s="2"/>
      <c r="E11" s="33" t="s">
        <v>0</v>
      </c>
      <c r="F11" s="33" t="s">
        <v>1</v>
      </c>
      <c r="G11" s="4"/>
      <c r="H11" s="3"/>
      <c r="I11" s="33" t="s">
        <v>2</v>
      </c>
      <c r="J11" s="35"/>
      <c r="K11" s="33"/>
      <c r="L11" s="33" t="s">
        <v>3</v>
      </c>
      <c r="M11" s="47"/>
      <c r="N11" s="48"/>
      <c r="O11" s="49"/>
      <c r="P11" s="49"/>
    </row>
    <row r="12" spans="1:16" ht="13.1" x14ac:dyDescent="0.25">
      <c r="A12" s="50"/>
      <c r="B12" s="5"/>
      <c r="C12" s="6"/>
      <c r="D12" s="2"/>
      <c r="E12" s="33" t="s">
        <v>4</v>
      </c>
      <c r="F12" s="33" t="s">
        <v>5</v>
      </c>
      <c r="G12" s="35" t="s">
        <v>6</v>
      </c>
      <c r="H12" s="33" t="s">
        <v>6</v>
      </c>
      <c r="I12" s="33" t="s">
        <v>7</v>
      </c>
      <c r="J12" s="35" t="s">
        <v>8</v>
      </c>
      <c r="K12" s="33" t="s">
        <v>9</v>
      </c>
      <c r="L12" s="33" t="s">
        <v>10</v>
      </c>
      <c r="M12" s="37" t="s">
        <v>11</v>
      </c>
      <c r="N12" s="48"/>
      <c r="O12" s="49"/>
      <c r="P12" s="49"/>
    </row>
    <row r="13" spans="1:16" ht="13.1" x14ac:dyDescent="0.25">
      <c r="A13" s="70" t="s">
        <v>12</v>
      </c>
      <c r="B13" s="70"/>
      <c r="C13" s="31" t="s">
        <v>13</v>
      </c>
      <c r="D13" s="32" t="s">
        <v>14</v>
      </c>
      <c r="E13" s="34" t="s">
        <v>15</v>
      </c>
      <c r="F13" s="34" t="s">
        <v>4</v>
      </c>
      <c r="G13" s="36" t="s">
        <v>16</v>
      </c>
      <c r="H13" s="34" t="s">
        <v>17</v>
      </c>
      <c r="I13" s="34" t="s">
        <v>6</v>
      </c>
      <c r="J13" s="36" t="s">
        <v>18</v>
      </c>
      <c r="K13" s="34" t="s">
        <v>8</v>
      </c>
      <c r="L13" s="34" t="s">
        <v>19</v>
      </c>
      <c r="M13" s="34" t="s">
        <v>20</v>
      </c>
      <c r="N13" s="37" t="s">
        <v>21</v>
      </c>
      <c r="O13" s="49"/>
      <c r="P13" s="49"/>
    </row>
    <row r="14" spans="1:16" x14ac:dyDescent="0.2">
      <c r="A14" s="51" t="s">
        <v>65</v>
      </c>
      <c r="B14" s="52"/>
      <c r="C14" s="53">
        <v>0</v>
      </c>
      <c r="D14" s="54">
        <v>1</v>
      </c>
      <c r="E14" s="67">
        <v>379.99</v>
      </c>
      <c r="F14" s="11">
        <f>SUM(D14*E14)</f>
        <v>379.99</v>
      </c>
      <c r="G14" s="56">
        <v>7.7499999999999999E-2</v>
      </c>
      <c r="H14" s="7">
        <f>SUM(F14*G14)</f>
        <v>29.449225000000002</v>
      </c>
      <c r="I14" s="7">
        <f>SUM(F14+H14)</f>
        <v>409.43922500000002</v>
      </c>
      <c r="J14" s="57"/>
      <c r="K14" s="8">
        <f>SUM(C14*J14*(I14))</f>
        <v>0</v>
      </c>
      <c r="L14" s="9">
        <f>SUM(I14-K14)</f>
        <v>409.43922500000002</v>
      </c>
      <c r="M14" s="58">
        <f>SUM(L14)</f>
        <v>409.43922500000002</v>
      </c>
      <c r="N14" s="59"/>
      <c r="O14" s="60"/>
      <c r="P14" s="60"/>
    </row>
    <row r="15" spans="1:16" x14ac:dyDescent="0.2">
      <c r="A15" s="51" t="s">
        <v>66</v>
      </c>
      <c r="B15" s="52"/>
      <c r="C15" s="53">
        <v>0</v>
      </c>
      <c r="D15" s="54">
        <v>1</v>
      </c>
      <c r="E15" s="67">
        <v>249.99</v>
      </c>
      <c r="F15" s="11">
        <f t="shared" ref="F15:F39" si="0">SUM(D15*E15)</f>
        <v>249.99</v>
      </c>
      <c r="G15" s="56">
        <v>7.7499999999999999E-2</v>
      </c>
      <c r="H15" s="7">
        <f t="shared" ref="H15:H39" si="1">SUM(F15*G15)</f>
        <v>19.374224999999999</v>
      </c>
      <c r="I15" s="7">
        <f t="shared" ref="I15:I39" si="2">SUM(F15+H15)</f>
        <v>269.36422500000003</v>
      </c>
      <c r="J15" s="57"/>
      <c r="K15" s="8">
        <f t="shared" ref="K15:K39" si="3">SUM(C15*J15*(I15))</f>
        <v>0</v>
      </c>
      <c r="L15" s="9">
        <f t="shared" ref="L15:L39" si="4">SUM(I15-K15)</f>
        <v>269.36422500000003</v>
      </c>
      <c r="M15" s="58">
        <f t="shared" ref="M15:M39" si="5">SUM(L15)</f>
        <v>269.36422500000003</v>
      </c>
      <c r="N15" s="59"/>
      <c r="O15" s="60"/>
      <c r="P15" s="60"/>
    </row>
    <row r="16" spans="1:16" x14ac:dyDescent="0.2">
      <c r="A16" s="51" t="s">
        <v>67</v>
      </c>
      <c r="B16" s="52"/>
      <c r="C16" s="53">
        <v>0</v>
      </c>
      <c r="D16" s="54">
        <v>1</v>
      </c>
      <c r="E16" s="67">
        <v>189.99</v>
      </c>
      <c r="F16" s="11">
        <f t="shared" si="0"/>
        <v>189.99</v>
      </c>
      <c r="G16" s="56">
        <v>7.7499999999999999E-2</v>
      </c>
      <c r="H16" s="7">
        <f t="shared" si="1"/>
        <v>14.724225000000001</v>
      </c>
      <c r="I16" s="7">
        <f t="shared" si="2"/>
        <v>204.714225</v>
      </c>
      <c r="J16" s="57"/>
      <c r="K16" s="8">
        <f t="shared" si="3"/>
        <v>0</v>
      </c>
      <c r="L16" s="9">
        <f t="shared" si="4"/>
        <v>204.714225</v>
      </c>
      <c r="M16" s="58">
        <f t="shared" si="5"/>
        <v>204.714225</v>
      </c>
      <c r="N16" s="59"/>
      <c r="O16" s="60"/>
      <c r="P16" s="60"/>
    </row>
    <row r="17" spans="1:16" x14ac:dyDescent="0.2">
      <c r="A17" s="51" t="s">
        <v>68</v>
      </c>
      <c r="B17" s="52"/>
      <c r="C17" s="53">
        <v>0</v>
      </c>
      <c r="D17" s="54">
        <v>1</v>
      </c>
      <c r="E17" s="67">
        <v>200</v>
      </c>
      <c r="F17" s="11">
        <f t="shared" si="0"/>
        <v>200</v>
      </c>
      <c r="G17" s="56">
        <v>7.7499999999999999E-2</v>
      </c>
      <c r="H17" s="7">
        <f t="shared" si="1"/>
        <v>15.5</v>
      </c>
      <c r="I17" s="7">
        <f t="shared" si="2"/>
        <v>215.5</v>
      </c>
      <c r="J17" s="57"/>
      <c r="K17" s="8">
        <f t="shared" si="3"/>
        <v>0</v>
      </c>
      <c r="L17" s="9">
        <f t="shared" si="4"/>
        <v>215.5</v>
      </c>
      <c r="M17" s="58">
        <f t="shared" si="5"/>
        <v>215.5</v>
      </c>
      <c r="N17" s="59"/>
      <c r="O17" s="60"/>
      <c r="P17" s="60"/>
    </row>
    <row r="18" spans="1:16" x14ac:dyDescent="0.2">
      <c r="A18" s="51" t="s">
        <v>69</v>
      </c>
      <c r="B18" s="52"/>
      <c r="C18" s="53">
        <v>0</v>
      </c>
      <c r="D18" s="54">
        <v>2</v>
      </c>
      <c r="E18" s="67">
        <v>169.99</v>
      </c>
      <c r="F18" s="11">
        <f t="shared" si="0"/>
        <v>339.98</v>
      </c>
      <c r="G18" s="56">
        <v>7.7499999999999999E-2</v>
      </c>
      <c r="H18" s="7">
        <f t="shared" si="1"/>
        <v>26.34845</v>
      </c>
      <c r="I18" s="7">
        <f t="shared" si="2"/>
        <v>366.32845000000003</v>
      </c>
      <c r="J18" s="57"/>
      <c r="K18" s="8">
        <f t="shared" si="3"/>
        <v>0</v>
      </c>
      <c r="L18" s="9">
        <f t="shared" si="4"/>
        <v>366.32845000000003</v>
      </c>
      <c r="M18" s="58">
        <f t="shared" si="5"/>
        <v>366.32845000000003</v>
      </c>
      <c r="N18" s="59"/>
      <c r="O18" s="60"/>
      <c r="P18" s="60"/>
    </row>
    <row r="19" spans="1:16" x14ac:dyDescent="0.2">
      <c r="A19" s="51" t="s">
        <v>70</v>
      </c>
      <c r="B19" s="52"/>
      <c r="C19" s="53">
        <v>0</v>
      </c>
      <c r="D19" s="54">
        <v>1</v>
      </c>
      <c r="E19" s="67">
        <v>27.78</v>
      </c>
      <c r="F19" s="11">
        <f t="shared" si="0"/>
        <v>27.78</v>
      </c>
      <c r="G19" s="56">
        <v>7.7499999999999999E-2</v>
      </c>
      <c r="H19" s="7">
        <f t="shared" si="1"/>
        <v>2.1529500000000001</v>
      </c>
      <c r="I19" s="7">
        <f t="shared" si="2"/>
        <v>29.932950000000002</v>
      </c>
      <c r="J19" s="57"/>
      <c r="K19" s="8">
        <f t="shared" si="3"/>
        <v>0</v>
      </c>
      <c r="L19" s="9">
        <f t="shared" si="4"/>
        <v>29.932950000000002</v>
      </c>
      <c r="M19" s="58">
        <f t="shared" si="5"/>
        <v>29.932950000000002</v>
      </c>
      <c r="N19" s="59"/>
      <c r="O19" s="60"/>
      <c r="P19" s="60"/>
    </row>
    <row r="20" spans="1:16" x14ac:dyDescent="0.2">
      <c r="A20" s="51" t="s">
        <v>71</v>
      </c>
      <c r="B20" s="52"/>
      <c r="C20" s="53">
        <v>0</v>
      </c>
      <c r="D20" s="54">
        <v>3</v>
      </c>
      <c r="E20" s="67">
        <v>20</v>
      </c>
      <c r="F20" s="11">
        <f t="shared" si="0"/>
        <v>60</v>
      </c>
      <c r="G20" s="56">
        <v>7.7499999999999999E-2</v>
      </c>
      <c r="H20" s="7">
        <f t="shared" si="1"/>
        <v>4.6500000000000004</v>
      </c>
      <c r="I20" s="7">
        <f t="shared" si="2"/>
        <v>64.650000000000006</v>
      </c>
      <c r="J20" s="57"/>
      <c r="K20" s="8">
        <f t="shared" si="3"/>
        <v>0</v>
      </c>
      <c r="L20" s="9">
        <f t="shared" si="4"/>
        <v>64.650000000000006</v>
      </c>
      <c r="M20" s="58">
        <f t="shared" si="5"/>
        <v>64.650000000000006</v>
      </c>
      <c r="N20" s="59"/>
      <c r="O20" s="60"/>
      <c r="P20" s="60"/>
    </row>
    <row r="21" spans="1:16" x14ac:dyDescent="0.2">
      <c r="A21" s="51" t="s">
        <v>72</v>
      </c>
      <c r="B21" s="52"/>
      <c r="C21" s="53">
        <v>0</v>
      </c>
      <c r="D21" s="54">
        <v>3</v>
      </c>
      <c r="E21" s="67">
        <v>20</v>
      </c>
      <c r="F21" s="11">
        <f t="shared" si="0"/>
        <v>60</v>
      </c>
      <c r="G21" s="56">
        <v>7.7499999999999999E-2</v>
      </c>
      <c r="H21" s="7">
        <f t="shared" si="1"/>
        <v>4.6500000000000004</v>
      </c>
      <c r="I21" s="7">
        <f t="shared" si="2"/>
        <v>64.650000000000006</v>
      </c>
      <c r="J21" s="57"/>
      <c r="K21" s="8">
        <f t="shared" si="3"/>
        <v>0</v>
      </c>
      <c r="L21" s="9">
        <f t="shared" si="4"/>
        <v>64.650000000000006</v>
      </c>
      <c r="M21" s="58">
        <f t="shared" si="5"/>
        <v>64.650000000000006</v>
      </c>
      <c r="N21" s="59"/>
      <c r="O21" s="60"/>
      <c r="P21" s="60"/>
    </row>
    <row r="22" spans="1:16" x14ac:dyDescent="0.2">
      <c r="A22" s="51" t="s">
        <v>73</v>
      </c>
      <c r="B22" s="52"/>
      <c r="C22" s="53">
        <v>0</v>
      </c>
      <c r="D22" s="54">
        <v>1</v>
      </c>
      <c r="E22" s="67">
        <v>30</v>
      </c>
      <c r="F22" s="11">
        <f t="shared" si="0"/>
        <v>30</v>
      </c>
      <c r="G22" s="56">
        <v>7.7499999999999999E-2</v>
      </c>
      <c r="H22" s="7">
        <f t="shared" si="1"/>
        <v>2.3250000000000002</v>
      </c>
      <c r="I22" s="7">
        <f t="shared" si="2"/>
        <v>32.325000000000003</v>
      </c>
      <c r="J22" s="57"/>
      <c r="K22" s="8">
        <f t="shared" si="3"/>
        <v>0</v>
      </c>
      <c r="L22" s="9">
        <f t="shared" si="4"/>
        <v>32.325000000000003</v>
      </c>
      <c r="M22" s="58">
        <f t="shared" si="5"/>
        <v>32.325000000000003</v>
      </c>
      <c r="N22" s="59"/>
      <c r="O22" s="60"/>
      <c r="P22" s="60"/>
    </row>
    <row r="23" spans="1:16" x14ac:dyDescent="0.2">
      <c r="A23" s="51" t="s">
        <v>74</v>
      </c>
      <c r="B23" s="52"/>
      <c r="C23" s="53">
        <v>0</v>
      </c>
      <c r="D23" s="54">
        <v>1</v>
      </c>
      <c r="E23" s="67">
        <v>20</v>
      </c>
      <c r="F23" s="11">
        <f t="shared" si="0"/>
        <v>20</v>
      </c>
      <c r="G23" s="56">
        <v>7.7499999999999999E-2</v>
      </c>
      <c r="H23" s="7">
        <f t="shared" si="1"/>
        <v>1.55</v>
      </c>
      <c r="I23" s="7">
        <f t="shared" si="2"/>
        <v>21.55</v>
      </c>
      <c r="J23" s="57"/>
      <c r="K23" s="8">
        <f t="shared" si="3"/>
        <v>0</v>
      </c>
      <c r="L23" s="9">
        <f t="shared" si="4"/>
        <v>21.55</v>
      </c>
      <c r="M23" s="58">
        <f t="shared" si="5"/>
        <v>21.55</v>
      </c>
      <c r="N23" s="59"/>
      <c r="O23" s="60"/>
      <c r="P23" s="60"/>
    </row>
    <row r="24" spans="1:16" x14ac:dyDescent="0.2">
      <c r="A24" s="51" t="s">
        <v>75</v>
      </c>
      <c r="B24" s="52"/>
      <c r="C24" s="53">
        <v>0</v>
      </c>
      <c r="D24" s="54">
        <v>1</v>
      </c>
      <c r="E24" s="67">
        <v>15</v>
      </c>
      <c r="F24" s="11">
        <f t="shared" si="0"/>
        <v>15</v>
      </c>
      <c r="G24" s="56">
        <v>7.7499999999999999E-2</v>
      </c>
      <c r="H24" s="7">
        <f t="shared" si="1"/>
        <v>1.1625000000000001</v>
      </c>
      <c r="I24" s="7">
        <f t="shared" si="2"/>
        <v>16.162500000000001</v>
      </c>
      <c r="J24" s="57"/>
      <c r="K24" s="8">
        <f t="shared" si="3"/>
        <v>0</v>
      </c>
      <c r="L24" s="9">
        <f t="shared" si="4"/>
        <v>16.162500000000001</v>
      </c>
      <c r="M24" s="58">
        <f t="shared" si="5"/>
        <v>16.162500000000001</v>
      </c>
      <c r="N24" s="59"/>
      <c r="O24" s="60"/>
      <c r="P24" s="60"/>
    </row>
    <row r="25" spans="1:16" x14ac:dyDescent="0.2">
      <c r="A25" s="51" t="s">
        <v>76</v>
      </c>
      <c r="B25" s="52"/>
      <c r="C25" s="53">
        <v>0</v>
      </c>
      <c r="D25" s="54">
        <v>1</v>
      </c>
      <c r="E25" s="67">
        <v>18</v>
      </c>
      <c r="F25" s="11">
        <f t="shared" si="0"/>
        <v>18</v>
      </c>
      <c r="G25" s="56">
        <v>7.7499999999999999E-2</v>
      </c>
      <c r="H25" s="7">
        <f t="shared" si="1"/>
        <v>1.395</v>
      </c>
      <c r="I25" s="7">
        <f t="shared" si="2"/>
        <v>19.395</v>
      </c>
      <c r="J25" s="57"/>
      <c r="K25" s="8">
        <f t="shared" si="3"/>
        <v>0</v>
      </c>
      <c r="L25" s="9">
        <f t="shared" si="4"/>
        <v>19.395</v>
      </c>
      <c r="M25" s="58">
        <f t="shared" si="5"/>
        <v>19.395</v>
      </c>
      <c r="N25" s="59"/>
      <c r="O25" s="60"/>
      <c r="P25" s="60"/>
    </row>
    <row r="26" spans="1:16" x14ac:dyDescent="0.2">
      <c r="A26" s="51" t="s">
        <v>77</v>
      </c>
      <c r="B26" s="52"/>
      <c r="C26" s="53">
        <v>0</v>
      </c>
      <c r="D26" s="54">
        <v>1</v>
      </c>
      <c r="E26" s="67">
        <v>25.09</v>
      </c>
      <c r="F26" s="11">
        <f t="shared" si="0"/>
        <v>25.09</v>
      </c>
      <c r="G26" s="56">
        <v>7.7499999999999999E-2</v>
      </c>
      <c r="H26" s="7">
        <f t="shared" si="1"/>
        <v>1.944475</v>
      </c>
      <c r="I26" s="7">
        <f t="shared" si="2"/>
        <v>27.034475</v>
      </c>
      <c r="J26" s="57"/>
      <c r="K26" s="8">
        <f t="shared" si="3"/>
        <v>0</v>
      </c>
      <c r="L26" s="9">
        <f t="shared" si="4"/>
        <v>27.034475</v>
      </c>
      <c r="M26" s="58">
        <f t="shared" si="5"/>
        <v>27.034475</v>
      </c>
      <c r="N26" s="59"/>
      <c r="O26" s="60"/>
      <c r="P26" s="60"/>
    </row>
    <row r="27" spans="1:16" x14ac:dyDescent="0.2">
      <c r="A27" s="51" t="s">
        <v>78</v>
      </c>
      <c r="B27" s="52"/>
      <c r="C27" s="53">
        <v>0</v>
      </c>
      <c r="D27" s="54">
        <v>1</v>
      </c>
      <c r="E27" s="67">
        <v>30</v>
      </c>
      <c r="F27" s="11">
        <f t="shared" si="0"/>
        <v>30</v>
      </c>
      <c r="G27" s="56">
        <v>7.7499999999999999E-2</v>
      </c>
      <c r="H27" s="7">
        <f t="shared" si="1"/>
        <v>2.3250000000000002</v>
      </c>
      <c r="I27" s="7">
        <f t="shared" si="2"/>
        <v>32.325000000000003</v>
      </c>
      <c r="J27" s="57"/>
      <c r="K27" s="8">
        <f t="shared" si="3"/>
        <v>0</v>
      </c>
      <c r="L27" s="9">
        <f t="shared" si="4"/>
        <v>32.325000000000003</v>
      </c>
      <c r="M27" s="58">
        <f t="shared" si="5"/>
        <v>32.325000000000003</v>
      </c>
      <c r="N27" s="59"/>
      <c r="O27" s="60"/>
      <c r="P27" s="60"/>
    </row>
    <row r="28" spans="1:16" x14ac:dyDescent="0.2">
      <c r="A28" s="51" t="s">
        <v>79</v>
      </c>
      <c r="B28" s="52"/>
      <c r="C28" s="53">
        <v>0</v>
      </c>
      <c r="D28" s="54">
        <v>1</v>
      </c>
      <c r="E28" s="67">
        <v>178.99</v>
      </c>
      <c r="F28" s="11">
        <f t="shared" si="0"/>
        <v>178.99</v>
      </c>
      <c r="G28" s="56">
        <v>7.7499999999999999E-2</v>
      </c>
      <c r="H28" s="7">
        <f t="shared" si="1"/>
        <v>13.871725000000001</v>
      </c>
      <c r="I28" s="7">
        <f t="shared" si="2"/>
        <v>192.86172500000001</v>
      </c>
      <c r="J28" s="57"/>
      <c r="K28" s="8">
        <f t="shared" si="3"/>
        <v>0</v>
      </c>
      <c r="L28" s="9">
        <f t="shared" si="4"/>
        <v>192.86172500000001</v>
      </c>
      <c r="M28" s="58">
        <f t="shared" si="5"/>
        <v>192.86172500000001</v>
      </c>
      <c r="N28" s="59"/>
      <c r="O28" s="60"/>
      <c r="P28" s="60"/>
    </row>
    <row r="29" spans="1:16" x14ac:dyDescent="0.2">
      <c r="A29" s="51" t="s">
        <v>80</v>
      </c>
      <c r="B29" s="52"/>
      <c r="C29" s="53">
        <v>0</v>
      </c>
      <c r="D29" s="54">
        <v>1</v>
      </c>
      <c r="E29" s="67">
        <v>20</v>
      </c>
      <c r="F29" s="11">
        <f t="shared" si="0"/>
        <v>20</v>
      </c>
      <c r="G29" s="56">
        <v>7.7499999999999999E-2</v>
      </c>
      <c r="H29" s="7">
        <f t="shared" si="1"/>
        <v>1.55</v>
      </c>
      <c r="I29" s="7">
        <f t="shared" si="2"/>
        <v>21.55</v>
      </c>
      <c r="J29" s="57"/>
      <c r="K29" s="8">
        <f t="shared" si="3"/>
        <v>0</v>
      </c>
      <c r="L29" s="9">
        <f t="shared" si="4"/>
        <v>21.55</v>
      </c>
      <c r="M29" s="58">
        <f t="shared" si="5"/>
        <v>21.55</v>
      </c>
      <c r="N29" s="59"/>
      <c r="O29" s="60"/>
      <c r="P29" s="60"/>
    </row>
    <row r="30" spans="1:16" x14ac:dyDescent="0.2">
      <c r="A30" s="51" t="s">
        <v>81</v>
      </c>
      <c r="B30" s="52"/>
      <c r="C30" s="53">
        <v>0</v>
      </c>
      <c r="D30" s="54">
        <v>1</v>
      </c>
      <c r="E30" s="67">
        <v>15</v>
      </c>
      <c r="F30" s="11">
        <f t="shared" si="0"/>
        <v>15</v>
      </c>
      <c r="G30" s="56">
        <v>7.7499999999999999E-2</v>
      </c>
      <c r="H30" s="7">
        <f t="shared" si="1"/>
        <v>1.1625000000000001</v>
      </c>
      <c r="I30" s="7">
        <f t="shared" si="2"/>
        <v>16.162500000000001</v>
      </c>
      <c r="J30" s="57"/>
      <c r="K30" s="8">
        <f t="shared" si="3"/>
        <v>0</v>
      </c>
      <c r="L30" s="9">
        <f t="shared" si="4"/>
        <v>16.162500000000001</v>
      </c>
      <c r="M30" s="58">
        <f t="shared" si="5"/>
        <v>16.162500000000001</v>
      </c>
      <c r="N30" s="59"/>
      <c r="O30" s="60"/>
      <c r="P30" s="60"/>
    </row>
    <row r="31" spans="1:16" x14ac:dyDescent="0.2">
      <c r="A31" s="51" t="s">
        <v>82</v>
      </c>
      <c r="B31" s="52"/>
      <c r="C31" s="53">
        <v>0</v>
      </c>
      <c r="D31" s="54">
        <v>1</v>
      </c>
      <c r="E31" s="67">
        <v>20</v>
      </c>
      <c r="F31" s="11">
        <f t="shared" si="0"/>
        <v>20</v>
      </c>
      <c r="G31" s="56">
        <v>7.7499999999999999E-2</v>
      </c>
      <c r="H31" s="7">
        <f t="shared" si="1"/>
        <v>1.55</v>
      </c>
      <c r="I31" s="7">
        <f t="shared" si="2"/>
        <v>21.55</v>
      </c>
      <c r="J31" s="57"/>
      <c r="K31" s="8">
        <f t="shared" si="3"/>
        <v>0</v>
      </c>
      <c r="L31" s="9">
        <f t="shared" si="4"/>
        <v>21.55</v>
      </c>
      <c r="M31" s="58">
        <f t="shared" si="5"/>
        <v>21.55</v>
      </c>
      <c r="N31" s="59"/>
      <c r="O31" s="60"/>
      <c r="P31" s="60"/>
    </row>
    <row r="32" spans="1:16" x14ac:dyDescent="0.2">
      <c r="A32" s="51" t="s">
        <v>83</v>
      </c>
      <c r="B32" s="52"/>
      <c r="C32" s="53">
        <v>0</v>
      </c>
      <c r="D32" s="54">
        <v>1</v>
      </c>
      <c r="E32" s="67">
        <v>39.99</v>
      </c>
      <c r="F32" s="11">
        <f t="shared" si="0"/>
        <v>39.99</v>
      </c>
      <c r="G32" s="56">
        <v>7.7499999999999999E-2</v>
      </c>
      <c r="H32" s="7">
        <f t="shared" si="1"/>
        <v>3.0992250000000001</v>
      </c>
      <c r="I32" s="7">
        <f t="shared" si="2"/>
        <v>43.089224999999999</v>
      </c>
      <c r="J32" s="57"/>
      <c r="K32" s="8">
        <f t="shared" si="3"/>
        <v>0</v>
      </c>
      <c r="L32" s="9">
        <f t="shared" si="4"/>
        <v>43.089224999999999</v>
      </c>
      <c r="M32" s="58">
        <f t="shared" si="5"/>
        <v>43.089224999999999</v>
      </c>
      <c r="N32" s="59"/>
      <c r="O32" s="60"/>
      <c r="P32" s="60"/>
    </row>
    <row r="33" spans="1:16" x14ac:dyDescent="0.2">
      <c r="A33" s="51" t="s">
        <v>84</v>
      </c>
      <c r="B33" s="52"/>
      <c r="C33" s="53">
        <v>0</v>
      </c>
      <c r="D33" s="54">
        <v>1</v>
      </c>
      <c r="E33" s="67">
        <v>20</v>
      </c>
      <c r="F33" s="11">
        <f t="shared" si="0"/>
        <v>20</v>
      </c>
      <c r="G33" s="56">
        <v>7.7499999999999999E-2</v>
      </c>
      <c r="H33" s="7">
        <f t="shared" si="1"/>
        <v>1.55</v>
      </c>
      <c r="I33" s="7">
        <f t="shared" si="2"/>
        <v>21.55</v>
      </c>
      <c r="J33" s="57"/>
      <c r="K33" s="8">
        <f t="shared" si="3"/>
        <v>0</v>
      </c>
      <c r="L33" s="9">
        <f t="shared" si="4"/>
        <v>21.55</v>
      </c>
      <c r="M33" s="58">
        <f t="shared" si="5"/>
        <v>21.55</v>
      </c>
      <c r="N33" s="59"/>
      <c r="O33" s="60"/>
      <c r="P33" s="60"/>
    </row>
    <row r="34" spans="1:16" x14ac:dyDescent="0.2">
      <c r="A34" s="61" t="s">
        <v>85</v>
      </c>
      <c r="B34" s="62"/>
      <c r="C34" s="53">
        <v>0</v>
      </c>
      <c r="D34" s="53">
        <v>1</v>
      </c>
      <c r="E34" s="68">
        <v>20</v>
      </c>
      <c r="F34" s="11">
        <f t="shared" si="0"/>
        <v>20</v>
      </c>
      <c r="G34" s="56">
        <v>7.7499999999999999E-2</v>
      </c>
      <c r="H34" s="7">
        <f t="shared" si="1"/>
        <v>1.55</v>
      </c>
      <c r="I34" s="7">
        <f t="shared" si="2"/>
        <v>21.55</v>
      </c>
      <c r="J34" s="57"/>
      <c r="K34" s="8">
        <f t="shared" si="3"/>
        <v>0</v>
      </c>
      <c r="L34" s="9">
        <f t="shared" si="4"/>
        <v>21.55</v>
      </c>
      <c r="M34" s="58">
        <f t="shared" si="5"/>
        <v>21.55</v>
      </c>
      <c r="N34" s="59"/>
      <c r="O34" s="60"/>
      <c r="P34" s="60"/>
    </row>
    <row r="35" spans="1:16" x14ac:dyDescent="0.2">
      <c r="A35" s="51" t="s">
        <v>86</v>
      </c>
      <c r="B35" s="52"/>
      <c r="C35" s="53">
        <v>0</v>
      </c>
      <c r="D35" s="53">
        <v>1</v>
      </c>
      <c r="E35" s="68">
        <v>21.79</v>
      </c>
      <c r="F35" s="11">
        <f t="shared" si="0"/>
        <v>21.79</v>
      </c>
      <c r="G35" s="56">
        <v>7.7499999999999999E-2</v>
      </c>
      <c r="H35" s="7">
        <f t="shared" si="1"/>
        <v>1.688725</v>
      </c>
      <c r="I35" s="7">
        <f t="shared" si="2"/>
        <v>23.478725000000001</v>
      </c>
      <c r="J35" s="57"/>
      <c r="K35" s="8">
        <f t="shared" si="3"/>
        <v>0</v>
      </c>
      <c r="L35" s="9">
        <f t="shared" si="4"/>
        <v>23.478725000000001</v>
      </c>
      <c r="M35" s="58">
        <f t="shared" si="5"/>
        <v>23.478725000000001</v>
      </c>
      <c r="N35" s="59"/>
      <c r="O35" s="60"/>
      <c r="P35" s="60"/>
    </row>
    <row r="36" spans="1:16" x14ac:dyDescent="0.2">
      <c r="A36" s="61" t="s">
        <v>87</v>
      </c>
      <c r="B36" s="52"/>
      <c r="C36" s="53">
        <v>0</v>
      </c>
      <c r="D36" s="53">
        <v>1</v>
      </c>
      <c r="E36" s="68">
        <v>15</v>
      </c>
      <c r="F36" s="11">
        <f t="shared" si="0"/>
        <v>15</v>
      </c>
      <c r="G36" s="56">
        <v>7.7499999999999999E-2</v>
      </c>
      <c r="H36" s="7">
        <f t="shared" si="1"/>
        <v>1.1625000000000001</v>
      </c>
      <c r="I36" s="7">
        <f t="shared" si="2"/>
        <v>16.162500000000001</v>
      </c>
      <c r="J36" s="57"/>
      <c r="K36" s="8">
        <f t="shared" si="3"/>
        <v>0</v>
      </c>
      <c r="L36" s="9">
        <f t="shared" si="4"/>
        <v>16.162500000000001</v>
      </c>
      <c r="M36" s="58">
        <f t="shared" si="5"/>
        <v>16.162500000000001</v>
      </c>
      <c r="N36" s="59"/>
      <c r="O36" s="60"/>
      <c r="P36" s="60"/>
    </row>
    <row r="37" spans="1:16" x14ac:dyDescent="0.2">
      <c r="A37" s="61" t="s">
        <v>88</v>
      </c>
      <c r="B37" s="52"/>
      <c r="C37" s="53">
        <v>0</v>
      </c>
      <c r="D37" s="53">
        <v>1</v>
      </c>
      <c r="E37" s="68">
        <v>30</v>
      </c>
      <c r="F37" s="11">
        <f t="shared" si="0"/>
        <v>30</v>
      </c>
      <c r="G37" s="56">
        <v>7.7499999999999999E-2</v>
      </c>
      <c r="H37" s="7">
        <f t="shared" si="1"/>
        <v>2.3250000000000002</v>
      </c>
      <c r="I37" s="7">
        <f t="shared" si="2"/>
        <v>32.325000000000003</v>
      </c>
      <c r="J37" s="57"/>
      <c r="K37" s="8">
        <f t="shared" si="3"/>
        <v>0</v>
      </c>
      <c r="L37" s="9">
        <f t="shared" si="4"/>
        <v>32.325000000000003</v>
      </c>
      <c r="M37" s="58">
        <f t="shared" si="5"/>
        <v>32.325000000000003</v>
      </c>
      <c r="N37" s="59"/>
      <c r="O37" s="60"/>
      <c r="P37" s="60"/>
    </row>
    <row r="38" spans="1:16" x14ac:dyDescent="0.2">
      <c r="A38" s="61" t="s">
        <v>89</v>
      </c>
      <c r="B38" s="52"/>
      <c r="C38" s="53">
        <v>0</v>
      </c>
      <c r="D38" s="53">
        <v>1</v>
      </c>
      <c r="E38" s="68">
        <v>20</v>
      </c>
      <c r="F38" s="11">
        <f t="shared" si="0"/>
        <v>20</v>
      </c>
      <c r="G38" s="56">
        <v>7.7499999999999999E-2</v>
      </c>
      <c r="H38" s="7">
        <f t="shared" si="1"/>
        <v>1.55</v>
      </c>
      <c r="I38" s="7">
        <f t="shared" si="2"/>
        <v>21.55</v>
      </c>
      <c r="J38" s="57"/>
      <c r="K38" s="8">
        <f t="shared" si="3"/>
        <v>0</v>
      </c>
      <c r="L38" s="9">
        <f t="shared" si="4"/>
        <v>21.55</v>
      </c>
      <c r="M38" s="58">
        <f t="shared" si="5"/>
        <v>21.55</v>
      </c>
      <c r="N38" s="59"/>
      <c r="O38" s="60"/>
      <c r="P38" s="60"/>
    </row>
    <row r="39" spans="1:16" x14ac:dyDescent="0.2">
      <c r="A39" s="61" t="s">
        <v>90</v>
      </c>
      <c r="B39" s="52"/>
      <c r="C39" s="53">
        <v>0</v>
      </c>
      <c r="D39" s="53">
        <v>1</v>
      </c>
      <c r="E39" s="68">
        <v>69.989999999999995</v>
      </c>
      <c r="F39" s="11">
        <f t="shared" si="0"/>
        <v>69.989999999999995</v>
      </c>
      <c r="G39" s="56">
        <v>7.7499999999999999E-2</v>
      </c>
      <c r="H39" s="7">
        <f t="shared" si="1"/>
        <v>5.4242249999999999</v>
      </c>
      <c r="I39" s="7">
        <f t="shared" si="2"/>
        <v>75.414224999999988</v>
      </c>
      <c r="J39" s="57"/>
      <c r="K39" s="8">
        <f t="shared" si="3"/>
        <v>0</v>
      </c>
      <c r="L39" s="9">
        <f t="shared" si="4"/>
        <v>75.414224999999988</v>
      </c>
      <c r="M39" s="58">
        <f t="shared" si="5"/>
        <v>75.414224999999988</v>
      </c>
      <c r="N39" s="59"/>
      <c r="O39" s="60"/>
      <c r="P39" s="60"/>
    </row>
    <row r="40" spans="1:16" ht="12.8" customHeight="1" x14ac:dyDescent="0.2">
      <c r="A40" s="60"/>
      <c r="B40" s="60"/>
      <c r="C40" s="60"/>
      <c r="D40" s="60"/>
      <c r="E40" s="60"/>
      <c r="F40" s="11"/>
      <c r="G40" s="60"/>
      <c r="H40" s="63"/>
      <c r="I40" s="63"/>
      <c r="J40" s="64"/>
      <c r="K40" s="63"/>
      <c r="L40" s="63"/>
      <c r="M40" s="58"/>
      <c r="N40" s="65"/>
      <c r="O40" s="60"/>
      <c r="P40" s="60"/>
    </row>
    <row r="41" spans="1:16" ht="12.8" customHeight="1" x14ac:dyDescent="0.2">
      <c r="A41" s="60"/>
      <c r="B41" s="60"/>
      <c r="C41" s="60"/>
      <c r="D41" s="60"/>
      <c r="E41" s="60"/>
      <c r="F41" s="11"/>
      <c r="G41" s="60"/>
      <c r="H41" s="63"/>
      <c r="I41" s="63"/>
      <c r="J41" s="64"/>
      <c r="K41" s="63"/>
      <c r="L41" s="63"/>
      <c r="M41" s="58"/>
      <c r="N41" s="65"/>
      <c r="O41" s="60"/>
      <c r="P41" s="60"/>
    </row>
    <row r="42" spans="1:16" ht="12.8" customHeight="1" x14ac:dyDescent="0.25">
      <c r="A42" s="60"/>
      <c r="B42" s="66"/>
      <c r="C42" s="60"/>
      <c r="D42" s="60"/>
      <c r="E42" s="60"/>
      <c r="F42" s="11"/>
      <c r="G42" s="64"/>
      <c r="H42" s="7">
        <f>SUM(H14:H39)</f>
        <v>164.03495000000004</v>
      </c>
      <c r="I42" s="7">
        <f>SUM(I14:I39)</f>
        <v>2280.6149500000001</v>
      </c>
      <c r="J42" s="64"/>
      <c r="K42" s="9">
        <f>SUM(K14:K39)</f>
        <v>0</v>
      </c>
      <c r="L42" s="9">
        <f>SUM(L14:L39)</f>
        <v>2280.6149500000001</v>
      </c>
      <c r="M42" s="58">
        <f>SUM(M14:M39)</f>
        <v>2280.6149500000001</v>
      </c>
      <c r="N42" s="65"/>
      <c r="O42" s="10" t="s">
        <v>22</v>
      </c>
      <c r="P42" s="60"/>
    </row>
    <row r="43" spans="1:16" ht="13.1" thickBot="1" x14ac:dyDescent="0.25"/>
    <row r="44" spans="1:16" x14ac:dyDescent="0.2">
      <c r="I44" s="12"/>
      <c r="J44" s="16"/>
      <c r="K44" s="21" t="s">
        <v>23</v>
      </c>
      <c r="L44" s="22"/>
      <c r="M44" s="23"/>
    </row>
    <row r="45" spans="1:16" x14ac:dyDescent="0.2">
      <c r="I45" s="15" t="s">
        <v>24</v>
      </c>
      <c r="J45" s="18">
        <f>SUM(I14:I39)</f>
        <v>2280.6149500000001</v>
      </c>
      <c r="K45" s="24"/>
      <c r="L45" s="24"/>
      <c r="M45" s="25"/>
    </row>
    <row r="46" spans="1:16" x14ac:dyDescent="0.2">
      <c r="I46" s="14"/>
      <c r="J46" s="19"/>
      <c r="K46" s="24"/>
      <c r="L46" s="24"/>
      <c r="M46" s="25"/>
    </row>
    <row r="47" spans="1:16" x14ac:dyDescent="0.2">
      <c r="I47" s="15" t="s">
        <v>25</v>
      </c>
      <c r="J47" s="18">
        <f>SUM(K14:K39)</f>
        <v>0</v>
      </c>
      <c r="K47" s="24"/>
      <c r="L47" s="24"/>
      <c r="M47" s="25"/>
    </row>
    <row r="48" spans="1:16" x14ac:dyDescent="0.2">
      <c r="I48" s="14"/>
      <c r="J48" s="19"/>
      <c r="K48" s="24"/>
      <c r="L48" s="24"/>
      <c r="M48" s="25"/>
    </row>
    <row r="49" spans="9:13" x14ac:dyDescent="0.2">
      <c r="I49" s="15" t="s">
        <v>26</v>
      </c>
      <c r="J49" s="18">
        <f>SUM(L14:L39)</f>
        <v>2280.6149500000001</v>
      </c>
      <c r="K49" s="24"/>
      <c r="L49" s="24"/>
      <c r="M49" s="25"/>
    </row>
    <row r="50" spans="9:13" x14ac:dyDescent="0.2">
      <c r="I50" s="14"/>
      <c r="J50" s="19"/>
      <c r="K50" s="24"/>
      <c r="L50" s="24"/>
      <c r="M50" s="25"/>
    </row>
    <row r="51" spans="9:13" x14ac:dyDescent="0.2">
      <c r="I51" s="15" t="s">
        <v>27</v>
      </c>
      <c r="J51" s="18">
        <f>SUM(M14:M39)</f>
        <v>2280.6149500000001</v>
      </c>
      <c r="K51" s="26"/>
      <c r="L51" s="24"/>
      <c r="M51" s="25"/>
    </row>
    <row r="52" spans="9:13" x14ac:dyDescent="0.2">
      <c r="I52" s="13"/>
      <c r="J52" s="19"/>
      <c r="K52" s="24"/>
      <c r="L52" s="24"/>
      <c r="M52" s="25"/>
    </row>
    <row r="53" spans="9:13" x14ac:dyDescent="0.2">
      <c r="I53" s="15" t="s">
        <v>28</v>
      </c>
      <c r="J53" s="29"/>
      <c r="K53" s="24"/>
      <c r="L53" s="24"/>
      <c r="M53" s="25"/>
    </row>
    <row r="54" spans="9:13" x14ac:dyDescent="0.2">
      <c r="I54" s="13"/>
      <c r="J54" s="19"/>
      <c r="K54" s="24"/>
      <c r="L54" s="24"/>
      <c r="M54" s="25"/>
    </row>
    <row r="55" spans="9:13" ht="13.1" thickBot="1" x14ac:dyDescent="0.25">
      <c r="I55" s="17" t="s">
        <v>29</v>
      </c>
      <c r="J55" s="20">
        <f>SUM(J51-J53)</f>
        <v>2280.6149500000001</v>
      </c>
      <c r="K55" s="27"/>
      <c r="L55" s="27"/>
      <c r="M55" s="28"/>
    </row>
    <row r="56" spans="9:13" ht="13.1" thickTop="1" x14ac:dyDescent="0.2"/>
  </sheetData>
  <sheetProtection formatCells="0" formatColumns="0" formatRows="0" insertColumns="0" insertRows="0" deleteColumns="0" deleteRows="0"/>
  <mergeCells count="1">
    <mergeCell ref="A13:B13"/>
  </mergeCells>
  <phoneticPr fontId="24" type="noConversion"/>
  <pageMargins left="0.75" right="0.75" top="1" bottom="1" header="0.5" footer="0.5"/>
  <pageSetup scale="53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3B66F-B03F-4675-AB55-8B22BDF19A05}">
  <sheetPr>
    <pageSetUpPr fitToPage="1"/>
  </sheetPr>
  <dimension ref="A1:P167"/>
  <sheetViews>
    <sheetView tabSelected="1" topLeftCell="A6" workbookViewId="0">
      <selection activeCell="N24" sqref="N24"/>
    </sheetView>
  </sheetViews>
  <sheetFormatPr defaultRowHeight="12.45" x14ac:dyDescent="0.2"/>
  <cols>
    <col min="1" max="1" width="33.875" customWidth="1"/>
    <col min="2" max="2" width="9.125" hidden="1" customWidth="1"/>
    <col min="3" max="3" width="5.125" customWidth="1"/>
    <col min="4" max="4" width="6.375" customWidth="1"/>
    <col min="5" max="5" width="20.875" customWidth="1"/>
    <col min="6" max="6" width="17.25" customWidth="1"/>
    <col min="9" max="9" width="23.375" customWidth="1"/>
    <col min="10" max="10" width="16.125" customWidth="1"/>
    <col min="11" max="11" width="16.25" customWidth="1"/>
    <col min="13" max="13" width="15" customWidth="1"/>
    <col min="14" max="14" width="30.125" customWidth="1"/>
  </cols>
  <sheetData>
    <row r="1" spans="1:16" s="39" customFormat="1" x14ac:dyDescent="0.2">
      <c r="A1" s="38" t="s">
        <v>33</v>
      </c>
      <c r="D1" s="40"/>
      <c r="E1" s="40"/>
      <c r="F1" s="41"/>
    </row>
    <row r="2" spans="1:16" s="39" customFormat="1" x14ac:dyDescent="0.2">
      <c r="A2" s="38" t="s">
        <v>34</v>
      </c>
      <c r="D2" s="40"/>
      <c r="E2" s="40"/>
      <c r="F2" s="41"/>
    </row>
    <row r="3" spans="1:16" s="39" customFormat="1" x14ac:dyDescent="0.2">
      <c r="A3" s="38" t="s">
        <v>35</v>
      </c>
      <c r="D3" s="40"/>
      <c r="E3" s="40"/>
      <c r="F3" s="41"/>
    </row>
    <row r="4" spans="1:16" s="39" customFormat="1" x14ac:dyDescent="0.2">
      <c r="A4" s="38" t="s">
        <v>36</v>
      </c>
      <c r="D4" s="40"/>
      <c r="E4" s="40"/>
      <c r="F4" s="41"/>
    </row>
    <row r="5" spans="1:16" s="39" customFormat="1" x14ac:dyDescent="0.2">
      <c r="A5" s="38" t="s">
        <v>37</v>
      </c>
      <c r="D5" s="40"/>
      <c r="E5" s="40"/>
      <c r="F5" s="41"/>
    </row>
    <row r="6" spans="1:16" s="39" customFormat="1" x14ac:dyDescent="0.2">
      <c r="A6" s="38" t="s">
        <v>38</v>
      </c>
      <c r="D6" s="40"/>
      <c r="E6" s="40"/>
      <c r="F6" s="41"/>
    </row>
    <row r="7" spans="1:16" s="39" customFormat="1" x14ac:dyDescent="0.2">
      <c r="A7" s="38" t="s">
        <v>32</v>
      </c>
      <c r="D7" s="40"/>
      <c r="E7" s="40"/>
      <c r="F7" s="41"/>
    </row>
    <row r="8" spans="1:16" s="39" customFormat="1" x14ac:dyDescent="0.2">
      <c r="A8" s="38" t="s">
        <v>30</v>
      </c>
      <c r="D8" s="40"/>
      <c r="E8" s="40"/>
      <c r="F8" s="41"/>
    </row>
    <row r="9" spans="1:16" s="39" customFormat="1" x14ac:dyDescent="0.2">
      <c r="A9" s="38" t="s">
        <v>31</v>
      </c>
      <c r="D9" s="40"/>
      <c r="E9" s="40"/>
      <c r="F9" s="41"/>
    </row>
    <row r="10" spans="1:16" s="43" customFormat="1" ht="13.1" x14ac:dyDescent="0.25">
      <c r="A10" s="42"/>
      <c r="C10" s="44"/>
      <c r="D10" s="45"/>
      <c r="E10" s="45"/>
      <c r="F10" s="46"/>
    </row>
    <row r="11" spans="1:16" ht="13.1" x14ac:dyDescent="0.25">
      <c r="A11" s="30"/>
      <c r="B11" s="1"/>
      <c r="C11" s="1"/>
      <c r="D11" s="2"/>
      <c r="E11" s="33" t="s">
        <v>0</v>
      </c>
      <c r="F11" s="33" t="s">
        <v>1</v>
      </c>
      <c r="G11" s="4"/>
      <c r="H11" s="3"/>
      <c r="I11" s="33" t="s">
        <v>2</v>
      </c>
      <c r="J11" s="35"/>
      <c r="K11" s="33"/>
      <c r="L11" s="33" t="s">
        <v>3</v>
      </c>
      <c r="M11" s="47"/>
      <c r="N11" s="48"/>
      <c r="O11" s="49"/>
      <c r="P11" s="49"/>
    </row>
    <row r="12" spans="1:16" ht="13.1" x14ac:dyDescent="0.25">
      <c r="A12" s="50"/>
      <c r="B12" s="5"/>
      <c r="C12" s="6"/>
      <c r="D12" s="2"/>
      <c r="E12" s="33" t="s">
        <v>4</v>
      </c>
      <c r="F12" s="33" t="s">
        <v>5</v>
      </c>
      <c r="G12" s="35" t="s">
        <v>6</v>
      </c>
      <c r="H12" s="33" t="s">
        <v>6</v>
      </c>
      <c r="I12" s="33" t="s">
        <v>7</v>
      </c>
      <c r="J12" s="35" t="s">
        <v>8</v>
      </c>
      <c r="K12" s="33" t="s">
        <v>9</v>
      </c>
      <c r="L12" s="33" t="s">
        <v>10</v>
      </c>
      <c r="M12" s="37" t="s">
        <v>11</v>
      </c>
      <c r="N12" s="48"/>
      <c r="O12" s="49"/>
      <c r="P12" s="49"/>
    </row>
    <row r="13" spans="1:16" ht="13.1" x14ac:dyDescent="0.25">
      <c r="A13" s="70" t="s">
        <v>12</v>
      </c>
      <c r="B13" s="70"/>
      <c r="C13" s="31" t="s">
        <v>13</v>
      </c>
      <c r="D13" s="32" t="s">
        <v>14</v>
      </c>
      <c r="E13" s="34" t="s">
        <v>15</v>
      </c>
      <c r="F13" s="34" t="s">
        <v>4</v>
      </c>
      <c r="G13" s="36" t="s">
        <v>16</v>
      </c>
      <c r="H13" s="34" t="s">
        <v>17</v>
      </c>
      <c r="I13" s="34" t="s">
        <v>6</v>
      </c>
      <c r="J13" s="36" t="s">
        <v>18</v>
      </c>
      <c r="K13" s="34" t="s">
        <v>8</v>
      </c>
      <c r="L13" s="34" t="s">
        <v>19</v>
      </c>
      <c r="M13" s="34" t="s">
        <v>20</v>
      </c>
      <c r="N13" s="37" t="s">
        <v>21</v>
      </c>
      <c r="O13" s="49"/>
      <c r="P13" s="49"/>
    </row>
    <row r="14" spans="1:16" x14ac:dyDescent="0.2">
      <c r="A14" s="51" t="s">
        <v>39</v>
      </c>
      <c r="B14" s="52"/>
      <c r="C14" s="53">
        <v>1</v>
      </c>
      <c r="D14" s="54">
        <v>60</v>
      </c>
      <c r="E14" s="67">
        <v>43.12</v>
      </c>
      <c r="F14" s="11">
        <f>SUM(D14*E14)</f>
        <v>2587.1999999999998</v>
      </c>
      <c r="G14" s="56">
        <v>7.7499999999999999E-2</v>
      </c>
      <c r="H14" s="7">
        <f>SUM(F14*G14)</f>
        <v>200.50799999999998</v>
      </c>
      <c r="I14" s="7">
        <f>SUM(F14+H14)</f>
        <v>2787.7079999999996</v>
      </c>
      <c r="J14" s="57"/>
      <c r="K14" s="8">
        <f>SUM(C14*J14*(I14))</f>
        <v>0</v>
      </c>
      <c r="L14" s="9">
        <f>SUM(I14-K14)</f>
        <v>2787.7079999999996</v>
      </c>
      <c r="M14" s="58">
        <f>SUM(L14)</f>
        <v>2787.7079999999996</v>
      </c>
      <c r="N14" s="59"/>
      <c r="O14" s="60"/>
      <c r="P14" s="60"/>
    </row>
    <row r="15" spans="1:16" x14ac:dyDescent="0.2">
      <c r="A15" s="51" t="s">
        <v>40</v>
      </c>
      <c r="B15" s="52"/>
      <c r="C15" s="53">
        <v>1</v>
      </c>
      <c r="D15" s="54">
        <v>500</v>
      </c>
      <c r="E15" s="67">
        <v>8.41</v>
      </c>
      <c r="F15" s="11">
        <f t="shared" ref="F15:F26" si="0">SUM(D15*E15)</f>
        <v>4205</v>
      </c>
      <c r="G15" s="56">
        <v>7.7499999999999999E-2</v>
      </c>
      <c r="H15" s="7">
        <f t="shared" ref="H15:H26" si="1">SUM(F15*G15)</f>
        <v>325.88749999999999</v>
      </c>
      <c r="I15" s="7">
        <f t="shared" ref="I15:I26" si="2">SUM(F15+H15)</f>
        <v>4530.8874999999998</v>
      </c>
      <c r="J15" s="57"/>
      <c r="K15" s="8">
        <f t="shared" ref="K15:K26" si="3">SUM(C15*J15*(I15))</f>
        <v>0</v>
      </c>
      <c r="L15" s="9">
        <f t="shared" ref="L15:L26" si="4">SUM(I15-K15)</f>
        <v>4530.8874999999998</v>
      </c>
      <c r="M15" s="58">
        <f t="shared" ref="M15:M26" si="5">SUM(L15)</f>
        <v>4530.8874999999998</v>
      </c>
      <c r="N15" s="59"/>
      <c r="O15" s="60"/>
      <c r="P15" s="60"/>
    </row>
    <row r="16" spans="1:16" x14ac:dyDescent="0.2">
      <c r="A16" s="51" t="s">
        <v>41</v>
      </c>
      <c r="B16" s="52"/>
      <c r="C16" s="53">
        <v>1</v>
      </c>
      <c r="D16" s="54">
        <v>100</v>
      </c>
      <c r="E16" s="67">
        <v>27.56</v>
      </c>
      <c r="F16" s="11">
        <f t="shared" si="0"/>
        <v>2756</v>
      </c>
      <c r="G16" s="56">
        <v>7.7499999999999999E-2</v>
      </c>
      <c r="H16" s="7">
        <f t="shared" si="1"/>
        <v>213.59</v>
      </c>
      <c r="I16" s="7">
        <f t="shared" si="2"/>
        <v>2969.59</v>
      </c>
      <c r="J16" s="57"/>
      <c r="K16" s="8">
        <f t="shared" si="3"/>
        <v>0</v>
      </c>
      <c r="L16" s="9">
        <f t="shared" si="4"/>
        <v>2969.59</v>
      </c>
      <c r="M16" s="58">
        <f t="shared" si="5"/>
        <v>2969.59</v>
      </c>
      <c r="N16" s="59"/>
      <c r="O16" s="60"/>
      <c r="P16" s="60"/>
    </row>
    <row r="17" spans="1:16" x14ac:dyDescent="0.2">
      <c r="A17" s="51" t="s">
        <v>42</v>
      </c>
      <c r="B17" s="52"/>
      <c r="C17" s="53">
        <v>1</v>
      </c>
      <c r="D17" s="54">
        <v>100</v>
      </c>
      <c r="E17" s="67">
        <v>12.36</v>
      </c>
      <c r="F17" s="11">
        <f t="shared" si="0"/>
        <v>1236</v>
      </c>
      <c r="G17" s="56">
        <v>7.7499999999999999E-2</v>
      </c>
      <c r="H17" s="7">
        <f t="shared" si="1"/>
        <v>95.79</v>
      </c>
      <c r="I17" s="7">
        <f t="shared" si="2"/>
        <v>1331.79</v>
      </c>
      <c r="J17" s="57"/>
      <c r="K17" s="8">
        <f t="shared" si="3"/>
        <v>0</v>
      </c>
      <c r="L17" s="9">
        <f t="shared" si="4"/>
        <v>1331.79</v>
      </c>
      <c r="M17" s="58">
        <f t="shared" si="5"/>
        <v>1331.79</v>
      </c>
      <c r="N17" s="69"/>
      <c r="O17" s="60"/>
      <c r="P17" s="60"/>
    </row>
    <row r="18" spans="1:16" x14ac:dyDescent="0.2">
      <c r="A18" s="51" t="s">
        <v>43</v>
      </c>
      <c r="B18" s="52"/>
      <c r="C18" s="53">
        <v>1</v>
      </c>
      <c r="D18" s="54">
        <v>100</v>
      </c>
      <c r="E18" s="67">
        <v>9.4499999999999993</v>
      </c>
      <c r="F18" s="11">
        <f t="shared" si="0"/>
        <v>944.99999999999989</v>
      </c>
      <c r="G18" s="56">
        <v>7.7499999999999999E-2</v>
      </c>
      <c r="H18" s="7">
        <f t="shared" si="1"/>
        <v>73.237499999999997</v>
      </c>
      <c r="I18" s="7">
        <f t="shared" si="2"/>
        <v>1018.2374999999998</v>
      </c>
      <c r="J18" s="57"/>
      <c r="K18" s="8">
        <f t="shared" si="3"/>
        <v>0</v>
      </c>
      <c r="L18" s="9">
        <f t="shared" si="4"/>
        <v>1018.2374999999998</v>
      </c>
      <c r="M18" s="58">
        <f t="shared" si="5"/>
        <v>1018.2374999999998</v>
      </c>
      <c r="N18" s="59"/>
      <c r="O18" s="60"/>
      <c r="P18" s="60"/>
    </row>
    <row r="19" spans="1:16" x14ac:dyDescent="0.2">
      <c r="A19" s="51" t="s">
        <v>44</v>
      </c>
      <c r="B19" s="52"/>
      <c r="C19" s="53">
        <v>1</v>
      </c>
      <c r="D19" s="54">
        <v>100</v>
      </c>
      <c r="E19" s="67">
        <v>7.96</v>
      </c>
      <c r="F19" s="11">
        <f t="shared" si="0"/>
        <v>796</v>
      </c>
      <c r="G19" s="56">
        <v>7.7499999999999999E-2</v>
      </c>
      <c r="H19" s="7">
        <f t="shared" si="1"/>
        <v>61.69</v>
      </c>
      <c r="I19" s="7">
        <f t="shared" si="2"/>
        <v>857.69</v>
      </c>
      <c r="J19" s="57"/>
      <c r="K19" s="8">
        <f t="shared" si="3"/>
        <v>0</v>
      </c>
      <c r="L19" s="9">
        <f t="shared" si="4"/>
        <v>857.69</v>
      </c>
      <c r="M19" s="58">
        <f t="shared" si="5"/>
        <v>857.69</v>
      </c>
      <c r="N19" s="59"/>
      <c r="O19" s="60"/>
      <c r="P19" s="60"/>
    </row>
    <row r="20" spans="1:16" x14ac:dyDescent="0.2">
      <c r="A20" s="51" t="s">
        <v>45</v>
      </c>
      <c r="B20" s="52"/>
      <c r="C20" s="53">
        <v>1</v>
      </c>
      <c r="D20" s="54">
        <v>10</v>
      </c>
      <c r="E20" s="67">
        <v>32.4</v>
      </c>
      <c r="F20" s="11">
        <f t="shared" si="0"/>
        <v>324</v>
      </c>
      <c r="G20" s="56">
        <v>7.7499999999999999E-2</v>
      </c>
      <c r="H20" s="7">
        <f t="shared" si="1"/>
        <v>25.11</v>
      </c>
      <c r="I20" s="7">
        <f t="shared" si="2"/>
        <v>349.11</v>
      </c>
      <c r="J20" s="57"/>
      <c r="K20" s="8">
        <f t="shared" si="3"/>
        <v>0</v>
      </c>
      <c r="L20" s="9">
        <f t="shared" si="4"/>
        <v>349.11</v>
      </c>
      <c r="M20" s="58">
        <f t="shared" si="5"/>
        <v>349.11</v>
      </c>
      <c r="N20" s="59"/>
      <c r="O20" s="60"/>
      <c r="P20" s="60"/>
    </row>
    <row r="21" spans="1:16" x14ac:dyDescent="0.2">
      <c r="A21" s="51" t="s">
        <v>46</v>
      </c>
      <c r="B21" s="52"/>
      <c r="C21" s="53">
        <v>1</v>
      </c>
      <c r="D21" s="54">
        <v>20</v>
      </c>
      <c r="E21" s="67">
        <v>11.67</v>
      </c>
      <c r="F21" s="11">
        <f t="shared" si="0"/>
        <v>233.4</v>
      </c>
      <c r="G21" s="56">
        <v>7.7499999999999999E-2</v>
      </c>
      <c r="H21" s="7">
        <f t="shared" si="1"/>
        <v>18.0885</v>
      </c>
      <c r="I21" s="7">
        <f t="shared" si="2"/>
        <v>251.48850000000002</v>
      </c>
      <c r="J21" s="57"/>
      <c r="K21" s="8">
        <f t="shared" si="3"/>
        <v>0</v>
      </c>
      <c r="L21" s="9">
        <f t="shared" si="4"/>
        <v>251.48850000000002</v>
      </c>
      <c r="M21" s="58">
        <f t="shared" si="5"/>
        <v>251.48850000000002</v>
      </c>
      <c r="N21" s="59"/>
      <c r="O21" s="60"/>
      <c r="P21" s="60"/>
    </row>
    <row r="22" spans="1:16" x14ac:dyDescent="0.2">
      <c r="A22" s="51" t="s">
        <v>47</v>
      </c>
      <c r="B22" s="52"/>
      <c r="C22" s="53">
        <v>1</v>
      </c>
      <c r="D22" s="54">
        <v>20</v>
      </c>
      <c r="E22" s="67">
        <v>4.76</v>
      </c>
      <c r="F22" s="11">
        <f t="shared" si="0"/>
        <v>95.199999999999989</v>
      </c>
      <c r="G22" s="56">
        <v>7.7499999999999999E-2</v>
      </c>
      <c r="H22" s="7">
        <f t="shared" si="1"/>
        <v>7.3779999999999992</v>
      </c>
      <c r="I22" s="7">
        <f t="shared" si="2"/>
        <v>102.57799999999999</v>
      </c>
      <c r="J22" s="57"/>
      <c r="K22" s="8">
        <f t="shared" si="3"/>
        <v>0</v>
      </c>
      <c r="L22" s="9">
        <f t="shared" si="4"/>
        <v>102.57799999999999</v>
      </c>
      <c r="M22" s="58">
        <f t="shared" si="5"/>
        <v>102.57799999999999</v>
      </c>
      <c r="N22" s="59"/>
      <c r="O22" s="60"/>
      <c r="P22" s="60"/>
    </row>
    <row r="23" spans="1:16" x14ac:dyDescent="0.2">
      <c r="A23" s="51" t="s">
        <v>48</v>
      </c>
      <c r="B23" s="52"/>
      <c r="C23" s="53">
        <v>1</v>
      </c>
      <c r="D23" s="54">
        <v>20</v>
      </c>
      <c r="E23" s="67">
        <v>3.37</v>
      </c>
      <c r="F23" s="11">
        <f t="shared" si="0"/>
        <v>67.400000000000006</v>
      </c>
      <c r="G23" s="56">
        <v>7.7499999999999999E-2</v>
      </c>
      <c r="H23" s="7">
        <f t="shared" si="1"/>
        <v>5.2235000000000005</v>
      </c>
      <c r="I23" s="7">
        <f t="shared" si="2"/>
        <v>72.623500000000007</v>
      </c>
      <c r="J23" s="57"/>
      <c r="K23" s="8">
        <f t="shared" si="3"/>
        <v>0</v>
      </c>
      <c r="L23" s="9">
        <f t="shared" si="4"/>
        <v>72.623500000000007</v>
      </c>
      <c r="M23" s="58">
        <f t="shared" si="5"/>
        <v>72.623500000000007</v>
      </c>
      <c r="N23" s="59"/>
      <c r="O23" s="60"/>
      <c r="P23" s="60"/>
    </row>
    <row r="24" spans="1:16" x14ac:dyDescent="0.2">
      <c r="A24" s="51" t="s">
        <v>49</v>
      </c>
      <c r="B24" s="52"/>
      <c r="C24" s="53">
        <v>1</v>
      </c>
      <c r="D24" s="54">
        <v>400</v>
      </c>
      <c r="E24" s="67">
        <v>5.5</v>
      </c>
      <c r="F24" s="11">
        <f t="shared" si="0"/>
        <v>2200</v>
      </c>
      <c r="G24" s="56">
        <v>7.7499999999999999E-2</v>
      </c>
      <c r="H24" s="7">
        <f t="shared" si="1"/>
        <v>170.5</v>
      </c>
      <c r="I24" s="7">
        <f t="shared" si="2"/>
        <v>2370.5</v>
      </c>
      <c r="J24" s="57"/>
      <c r="K24" s="8">
        <f t="shared" si="3"/>
        <v>0</v>
      </c>
      <c r="L24" s="9">
        <f t="shared" si="4"/>
        <v>2370.5</v>
      </c>
      <c r="M24" s="58">
        <f t="shared" si="5"/>
        <v>2370.5</v>
      </c>
      <c r="N24" s="59"/>
      <c r="O24" s="60"/>
      <c r="P24" s="60"/>
    </row>
    <row r="25" spans="1:16" x14ac:dyDescent="0.2">
      <c r="A25" s="51" t="s">
        <v>50</v>
      </c>
      <c r="B25" s="52"/>
      <c r="C25" s="53">
        <v>1</v>
      </c>
      <c r="D25" s="54">
        <v>1</v>
      </c>
      <c r="E25" s="55">
        <v>8490</v>
      </c>
      <c r="F25" s="11">
        <f t="shared" si="0"/>
        <v>8490</v>
      </c>
      <c r="G25" s="56">
        <v>7.7499999999999999E-2</v>
      </c>
      <c r="H25" s="7">
        <f t="shared" si="1"/>
        <v>657.97500000000002</v>
      </c>
      <c r="I25" s="7">
        <f t="shared" si="2"/>
        <v>9147.9750000000004</v>
      </c>
      <c r="J25" s="57"/>
      <c r="K25" s="8">
        <f t="shared" si="3"/>
        <v>0</v>
      </c>
      <c r="L25" s="9">
        <f t="shared" si="4"/>
        <v>9147.9750000000004</v>
      </c>
      <c r="M25" s="58">
        <f t="shared" si="5"/>
        <v>9147.9750000000004</v>
      </c>
      <c r="N25" s="59"/>
      <c r="O25" s="60"/>
      <c r="P25" s="60"/>
    </row>
    <row r="26" spans="1:16" x14ac:dyDescent="0.2">
      <c r="A26" s="51" t="s">
        <v>51</v>
      </c>
      <c r="B26" s="52"/>
      <c r="C26" s="53">
        <v>1</v>
      </c>
      <c r="D26" s="54">
        <v>1</v>
      </c>
      <c r="E26" s="55">
        <v>6500</v>
      </c>
      <c r="F26" s="11">
        <f t="shared" si="0"/>
        <v>6500</v>
      </c>
      <c r="G26" s="56">
        <v>7.7499999999999999E-2</v>
      </c>
      <c r="H26" s="7">
        <f t="shared" si="1"/>
        <v>503.75</v>
      </c>
      <c r="I26" s="7">
        <f t="shared" si="2"/>
        <v>7003.75</v>
      </c>
      <c r="J26" s="57"/>
      <c r="K26" s="8">
        <f t="shared" si="3"/>
        <v>0</v>
      </c>
      <c r="L26" s="9">
        <f t="shared" si="4"/>
        <v>7003.75</v>
      </c>
      <c r="M26" s="58">
        <f t="shared" si="5"/>
        <v>7003.75</v>
      </c>
      <c r="N26" s="59"/>
      <c r="O26" s="60"/>
      <c r="P26" s="60"/>
    </row>
    <row r="27" spans="1:16" x14ac:dyDescent="0.2">
      <c r="A27" s="60"/>
      <c r="B27" s="60"/>
      <c r="C27" s="60"/>
      <c r="D27" s="60"/>
      <c r="E27" s="60"/>
      <c r="F27" s="11"/>
      <c r="G27" s="60"/>
      <c r="H27" s="63"/>
      <c r="I27" s="63"/>
      <c r="J27" s="64"/>
      <c r="K27" s="63"/>
      <c r="L27" s="63"/>
      <c r="M27" s="58"/>
      <c r="N27" s="65"/>
      <c r="O27" s="60"/>
      <c r="P27" s="60"/>
    </row>
    <row r="28" spans="1:16" x14ac:dyDescent="0.2">
      <c r="A28" s="60"/>
      <c r="B28" s="60"/>
      <c r="C28" s="60"/>
      <c r="D28" s="60"/>
      <c r="E28" s="60"/>
      <c r="F28" s="11"/>
      <c r="G28" s="60"/>
      <c r="H28" s="63"/>
      <c r="I28" s="63"/>
      <c r="J28" s="64"/>
      <c r="K28" s="63"/>
      <c r="L28" s="63"/>
      <c r="M28" s="58"/>
      <c r="N28" s="65"/>
      <c r="O28" s="60"/>
      <c r="P28" s="60"/>
    </row>
    <row r="29" spans="1:16" ht="13.1" x14ac:dyDescent="0.25">
      <c r="A29" s="60"/>
      <c r="B29" s="66"/>
      <c r="C29" s="60"/>
      <c r="D29" s="60"/>
      <c r="E29" s="60"/>
      <c r="F29" s="11"/>
      <c r="G29" s="64"/>
      <c r="H29" s="7">
        <f>SUM(H14:H26)</f>
        <v>2358.7280000000001</v>
      </c>
      <c r="I29" s="7">
        <f>SUM(I14:I26)</f>
        <v>32793.928</v>
      </c>
      <c r="J29" s="64"/>
      <c r="K29" s="9">
        <f>SUM(K14:K26)</f>
        <v>0</v>
      </c>
      <c r="L29" s="9">
        <f>SUM(L14:L26)</f>
        <v>32793.928</v>
      </c>
      <c r="M29" s="58">
        <f>SUM(M14:M26)</f>
        <v>32793.928</v>
      </c>
      <c r="N29" s="65"/>
      <c r="O29" s="10" t="s">
        <v>22</v>
      </c>
      <c r="P29" s="60"/>
    </row>
    <row r="30" spans="1:16" ht="13.1" thickBot="1" x14ac:dyDescent="0.25"/>
    <row r="31" spans="1:16" x14ac:dyDescent="0.2">
      <c r="I31" s="12"/>
      <c r="J31" s="16"/>
      <c r="K31" s="21" t="s">
        <v>23</v>
      </c>
      <c r="L31" s="22"/>
      <c r="M31" s="23"/>
    </row>
    <row r="32" spans="1:16" x14ac:dyDescent="0.2">
      <c r="I32" s="15" t="s">
        <v>24</v>
      </c>
      <c r="J32" s="18">
        <f>SUM(I14:I26)</f>
        <v>32793.928</v>
      </c>
      <c r="K32" s="24"/>
      <c r="L32" s="24"/>
      <c r="M32" s="25"/>
    </row>
    <row r="33" spans="9:13" x14ac:dyDescent="0.2">
      <c r="I33" s="14"/>
      <c r="J33" s="19"/>
      <c r="K33" s="24"/>
      <c r="L33" s="24"/>
      <c r="M33" s="25"/>
    </row>
    <row r="34" spans="9:13" x14ac:dyDescent="0.2">
      <c r="I34" s="15" t="s">
        <v>25</v>
      </c>
      <c r="J34" s="18">
        <f>SUM(K14:K26)</f>
        <v>0</v>
      </c>
      <c r="K34" s="24"/>
      <c r="L34" s="24"/>
      <c r="M34" s="25"/>
    </row>
    <row r="35" spans="9:13" x14ac:dyDescent="0.2">
      <c r="I35" s="14"/>
      <c r="J35" s="19"/>
      <c r="K35" s="24"/>
      <c r="L35" s="24"/>
      <c r="M35" s="25"/>
    </row>
    <row r="36" spans="9:13" x14ac:dyDescent="0.2">
      <c r="I36" s="15" t="s">
        <v>26</v>
      </c>
      <c r="J36" s="18">
        <f>SUM(L14:L26)</f>
        <v>32793.928</v>
      </c>
      <c r="K36" s="24"/>
      <c r="L36" s="24"/>
      <c r="M36" s="25"/>
    </row>
    <row r="37" spans="9:13" x14ac:dyDescent="0.2">
      <c r="I37" s="14"/>
      <c r="J37" s="19"/>
      <c r="K37" s="24"/>
      <c r="L37" s="24"/>
      <c r="M37" s="25"/>
    </row>
    <row r="38" spans="9:13" x14ac:dyDescent="0.2">
      <c r="I38" s="15" t="s">
        <v>27</v>
      </c>
      <c r="J38" s="18">
        <f>SUM(M14:M26)</f>
        <v>32793.928</v>
      </c>
      <c r="K38" s="26"/>
      <c r="L38" s="24"/>
      <c r="M38" s="25"/>
    </row>
    <row r="39" spans="9:13" x14ac:dyDescent="0.2">
      <c r="I39" s="13"/>
      <c r="J39" s="19"/>
      <c r="K39" s="24"/>
      <c r="L39" s="24"/>
      <c r="M39" s="25"/>
    </row>
    <row r="40" spans="9:13" x14ac:dyDescent="0.2">
      <c r="I40" s="15" t="s">
        <v>28</v>
      </c>
      <c r="J40" s="29">
        <v>2500</v>
      </c>
      <c r="K40" s="24"/>
      <c r="L40" s="24"/>
      <c r="M40" s="25"/>
    </row>
    <row r="41" spans="9:13" x14ac:dyDescent="0.2">
      <c r="I41" s="13"/>
      <c r="J41" s="19"/>
      <c r="K41" s="24"/>
      <c r="L41" s="24"/>
      <c r="M41" s="25"/>
    </row>
    <row r="42" spans="9:13" ht="13.1" thickBot="1" x14ac:dyDescent="0.25">
      <c r="I42" s="17" t="s">
        <v>29</v>
      </c>
      <c r="J42" s="20">
        <f>SUM(J38-J40)</f>
        <v>30293.928</v>
      </c>
      <c r="K42" s="27"/>
      <c r="L42" s="27"/>
      <c r="M42" s="28"/>
    </row>
    <row r="43" spans="9:13" ht="13.1" thickTop="1" x14ac:dyDescent="0.2"/>
    <row r="58" ht="11.95" customHeight="1" x14ac:dyDescent="0.2"/>
    <row r="61" ht="14.25" customHeight="1" x14ac:dyDescent="0.2"/>
    <row r="62" ht="11.95" customHeight="1" x14ac:dyDescent="0.2"/>
    <row r="63" ht="12.8" customHeight="1" x14ac:dyDescent="0.2"/>
    <row r="64" ht="12.8" customHeight="1" x14ac:dyDescent="0.2"/>
    <row r="65" ht="12.8" customHeight="1" x14ac:dyDescent="0.2"/>
    <row r="66" ht="12.8" customHeight="1" x14ac:dyDescent="0.2"/>
    <row r="67" ht="12.8" customHeight="1" x14ac:dyDescent="0.2"/>
    <row r="68" ht="12.8" customHeight="1" x14ac:dyDescent="0.2"/>
    <row r="69" ht="12.8" customHeight="1" x14ac:dyDescent="0.2"/>
    <row r="70" ht="12.8" customHeight="1" x14ac:dyDescent="0.2"/>
    <row r="71" ht="12.8" customHeight="1" x14ac:dyDescent="0.2"/>
    <row r="72" ht="12.8" customHeight="1" x14ac:dyDescent="0.2"/>
    <row r="73" ht="12.8" customHeight="1" x14ac:dyDescent="0.2"/>
    <row r="74" ht="12.8" customHeight="1" x14ac:dyDescent="0.2"/>
    <row r="75" ht="12.8" customHeight="1" x14ac:dyDescent="0.2"/>
    <row r="76" ht="12.8" customHeight="1" x14ac:dyDescent="0.2"/>
    <row r="77" ht="12.8" customHeight="1" x14ac:dyDescent="0.2"/>
    <row r="78" ht="12.8" customHeight="1" x14ac:dyDescent="0.2"/>
    <row r="79" ht="12.8" customHeight="1" x14ac:dyDescent="0.2"/>
    <row r="80" ht="12.8" customHeight="1" x14ac:dyDescent="0.2"/>
    <row r="81" ht="12.8" customHeight="1" x14ac:dyDescent="0.2"/>
    <row r="82" ht="12.8" customHeight="1" x14ac:dyDescent="0.2"/>
    <row r="83" ht="12.8" customHeight="1" x14ac:dyDescent="0.2"/>
    <row r="84" ht="12.8" customHeight="1" x14ac:dyDescent="0.2"/>
    <row r="85" ht="12.8" customHeight="1" x14ac:dyDescent="0.2"/>
    <row r="86" ht="12.8" customHeight="1" x14ac:dyDescent="0.2"/>
    <row r="87" ht="12.8" customHeight="1" x14ac:dyDescent="0.2"/>
    <row r="88" ht="12.8" customHeight="1" x14ac:dyDescent="0.2"/>
    <row r="89" ht="12.8" customHeight="1" x14ac:dyDescent="0.2"/>
    <row r="90" ht="12.8" customHeight="1" x14ac:dyDescent="0.2"/>
    <row r="91" ht="12.8" customHeight="1" x14ac:dyDescent="0.2"/>
    <row r="92" ht="12.8" customHeight="1" x14ac:dyDescent="0.2"/>
    <row r="93" ht="12.8" customHeight="1" x14ac:dyDescent="0.2"/>
    <row r="94" ht="12.8" customHeight="1" x14ac:dyDescent="0.2"/>
    <row r="95" ht="12.8" customHeight="1" x14ac:dyDescent="0.2"/>
    <row r="96" ht="12.8" customHeight="1" x14ac:dyDescent="0.2"/>
    <row r="97" ht="12.8" customHeight="1" x14ac:dyDescent="0.2"/>
    <row r="98" ht="12.8" customHeight="1" x14ac:dyDescent="0.2"/>
    <row r="99" ht="12.8" customHeight="1" x14ac:dyDescent="0.2"/>
    <row r="100" ht="12.8" customHeight="1" x14ac:dyDescent="0.2"/>
    <row r="101" ht="12.8" customHeight="1" x14ac:dyDescent="0.2"/>
    <row r="102" ht="12.8" customHeight="1" x14ac:dyDescent="0.2"/>
    <row r="103" ht="12.8" customHeight="1" x14ac:dyDescent="0.2"/>
    <row r="104" ht="12.8" customHeight="1" x14ac:dyDescent="0.2"/>
    <row r="105" ht="12.8" customHeight="1" x14ac:dyDescent="0.2"/>
    <row r="106" ht="12.8" customHeight="1" x14ac:dyDescent="0.2"/>
    <row r="107" ht="12.8" customHeight="1" x14ac:dyDescent="0.2"/>
    <row r="108" ht="12.8" customHeight="1" x14ac:dyDescent="0.2"/>
    <row r="109" ht="12.8" customHeight="1" x14ac:dyDescent="0.2"/>
    <row r="110" ht="12.8" customHeight="1" x14ac:dyDescent="0.2"/>
    <row r="111" ht="12.8" customHeight="1" x14ac:dyDescent="0.2"/>
    <row r="112" ht="12.8" customHeight="1" x14ac:dyDescent="0.2"/>
    <row r="113" ht="12.8" customHeight="1" x14ac:dyDescent="0.2"/>
    <row r="114" ht="12.8" customHeight="1" x14ac:dyDescent="0.2"/>
    <row r="115" ht="12.8" customHeight="1" x14ac:dyDescent="0.2"/>
    <row r="116" ht="12.8" customHeight="1" x14ac:dyDescent="0.2"/>
    <row r="117" ht="12.8" customHeight="1" x14ac:dyDescent="0.2"/>
    <row r="118" ht="12.8" customHeight="1" x14ac:dyDescent="0.2"/>
    <row r="119" ht="12.8" customHeight="1" x14ac:dyDescent="0.2"/>
    <row r="120" ht="12.8" customHeight="1" x14ac:dyDescent="0.2"/>
    <row r="121" ht="12.8" customHeight="1" x14ac:dyDescent="0.2"/>
    <row r="122" ht="12.8" customHeight="1" x14ac:dyDescent="0.2"/>
    <row r="123" ht="12.8" customHeight="1" x14ac:dyDescent="0.2"/>
    <row r="124" ht="12.8" customHeight="1" x14ac:dyDescent="0.2"/>
    <row r="125" ht="12.8" customHeight="1" x14ac:dyDescent="0.2"/>
    <row r="126" ht="12.8" customHeight="1" x14ac:dyDescent="0.2"/>
    <row r="127" ht="12.8" customHeight="1" x14ac:dyDescent="0.2"/>
    <row r="128" ht="12.8" customHeight="1" x14ac:dyDescent="0.2"/>
    <row r="129" ht="12.8" customHeight="1" x14ac:dyDescent="0.2"/>
    <row r="130" ht="12.8" customHeight="1" x14ac:dyDescent="0.2"/>
    <row r="131" ht="12.8" customHeight="1" x14ac:dyDescent="0.2"/>
    <row r="132" ht="12.8" customHeight="1" x14ac:dyDescent="0.2"/>
    <row r="133" ht="12.8" customHeight="1" x14ac:dyDescent="0.2"/>
    <row r="134" ht="12.8" customHeight="1" x14ac:dyDescent="0.2"/>
    <row r="135" ht="12.8" customHeight="1" x14ac:dyDescent="0.2"/>
    <row r="136" ht="12.8" customHeight="1" x14ac:dyDescent="0.2"/>
    <row r="137" ht="12.8" customHeight="1" x14ac:dyDescent="0.2"/>
    <row r="138" ht="12.8" customHeight="1" x14ac:dyDescent="0.2"/>
    <row r="139" ht="12.8" customHeight="1" x14ac:dyDescent="0.2"/>
    <row r="140" ht="12.8" customHeight="1" x14ac:dyDescent="0.2"/>
    <row r="141" ht="12.8" customHeight="1" x14ac:dyDescent="0.2"/>
    <row r="142" ht="12.8" customHeight="1" x14ac:dyDescent="0.2"/>
    <row r="143" ht="12.8" customHeight="1" x14ac:dyDescent="0.2"/>
    <row r="144" ht="12.8" customHeight="1" x14ac:dyDescent="0.2"/>
    <row r="145" ht="12.8" customHeight="1" x14ac:dyDescent="0.2"/>
    <row r="146" ht="12.8" customHeight="1" x14ac:dyDescent="0.2"/>
    <row r="147" ht="12.8" customHeight="1" x14ac:dyDescent="0.2"/>
    <row r="148" ht="12.8" customHeight="1" x14ac:dyDescent="0.2"/>
    <row r="149" ht="12.8" customHeight="1" x14ac:dyDescent="0.2"/>
    <row r="150" ht="12.8" customHeight="1" x14ac:dyDescent="0.2"/>
    <row r="151" ht="12.8" customHeight="1" x14ac:dyDescent="0.2"/>
    <row r="152" ht="12.8" customHeight="1" x14ac:dyDescent="0.2"/>
    <row r="153" ht="12.8" customHeight="1" x14ac:dyDescent="0.2"/>
    <row r="154" ht="12.8" customHeight="1" x14ac:dyDescent="0.2"/>
    <row r="155" ht="12.8" customHeight="1" x14ac:dyDescent="0.2"/>
    <row r="156" ht="12.8" customHeight="1" x14ac:dyDescent="0.2"/>
    <row r="157" ht="12.8" customHeight="1" x14ac:dyDescent="0.2"/>
    <row r="158" ht="12.8" customHeight="1" x14ac:dyDescent="0.2"/>
    <row r="159" ht="12.8" customHeight="1" x14ac:dyDescent="0.2"/>
    <row r="160" ht="12.8" customHeight="1" x14ac:dyDescent="0.2"/>
    <row r="161" ht="12.8" customHeight="1" x14ac:dyDescent="0.2"/>
    <row r="162" ht="12.8" customHeight="1" x14ac:dyDescent="0.2"/>
    <row r="163" ht="12.8" customHeight="1" x14ac:dyDescent="0.2"/>
    <row r="164" ht="12.8" customHeight="1" x14ac:dyDescent="0.2"/>
    <row r="165" ht="12.8" customHeight="1" x14ac:dyDescent="0.2"/>
    <row r="166" ht="12.8" customHeight="1" x14ac:dyDescent="0.2"/>
    <row r="167" ht="12.8" customHeight="1" x14ac:dyDescent="0.2"/>
  </sheetData>
  <sheetProtection formatCells="0" formatColumns="0" formatRows="0" insertColumns="0" insertRows="0" deleteColumns="0" deleteRows="0"/>
  <mergeCells count="1">
    <mergeCell ref="A13:B13"/>
  </mergeCells>
  <pageMargins left="0.75" right="0.75" top="1" bottom="1" header="0.5" footer="0.5"/>
  <pageSetup scale="53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8E0716228A0A4A9F9A4FE851A5DEE0" ma:contentTypeVersion="22" ma:contentTypeDescription="Create a new document." ma:contentTypeScope="" ma:versionID="4a83ad19b75314ed9d1d0ea96e355a8a">
  <xsd:schema xmlns:xsd="http://www.w3.org/2001/XMLSchema" xmlns:xs="http://www.w3.org/2001/XMLSchema" xmlns:p="http://schemas.microsoft.com/office/2006/metadata/properties" xmlns:ns2="6b0da074-f544-4efd-b9b3-e449d81da6e0" xmlns:ns3="f4635854-1d64-4175-b6ad-cd7f46c6d4f9" targetNamespace="http://schemas.microsoft.com/office/2006/metadata/properties" ma:root="true" ma:fieldsID="ff9eaee9ae0f7e4a17fb516f5fa348b5" ns2:_="" ns3:_="">
    <xsd:import namespace="6b0da074-f544-4efd-b9b3-e449d81da6e0"/>
    <xsd:import namespace="f4635854-1d64-4175-b6ad-cd7f46c6d4f9"/>
    <xsd:element name="properties">
      <xsd:complexType>
        <xsd:sequence>
          <xsd:element name="documentManagement">
            <xsd:complexType>
              <xsd:all>
                <xsd:element ref="ns2:TRV_Archived" minOccurs="0"/>
                <xsd:element ref="ns2:TRV_DivisionTaxHTField0" minOccurs="0"/>
                <xsd:element ref="ns2:TaxCatchAll" minOccurs="0"/>
                <xsd:element ref="ns3:b9bff81a260948438ab712aa3bf967dc" minOccurs="0"/>
                <xsd:element ref="ns2:TaxKeywordTaxHTFiel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da074-f544-4efd-b9b3-e449d81da6e0" elementFormDefault="qualified">
    <xsd:import namespace="http://schemas.microsoft.com/office/2006/documentManagement/types"/>
    <xsd:import namespace="http://schemas.microsoft.com/office/infopath/2007/PartnerControls"/>
    <xsd:element name="TRV_Archived" ma:index="4" nillable="true" ma:displayName="Archived" ma:default="1" ma:internalName="TRV_Archived" ma:readOnly="false">
      <xsd:simpleType>
        <xsd:restriction base="dms:Boolean"/>
      </xsd:simpleType>
    </xsd:element>
    <xsd:element name="TRV_DivisionTaxHTField0" ma:index="6" nillable="true" ma:displayName="Division_0" ma:hidden="true" ma:internalName="TRV_DivisionTaxHTField0" ma:readOnly="false">
      <xsd:simpleType>
        <xsd:restriction base="dms:Note"/>
      </xsd:simpleType>
    </xsd:element>
    <xsd:element name="TaxCatchAll" ma:index="7" nillable="true" ma:displayName="Taxonomy Catch All Column" ma:hidden="true" ma:list="{3d665aed-8677-48ca-a4df-7b396236e289}" ma:internalName="TaxCatchAll" ma:showField="CatchAllData" ma:web="6b0da074-f544-4efd-b9b3-e449d81da6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11" nillable="true" ma:taxonomy="true" ma:internalName="TaxKeywordTaxHTField" ma:taxonomyFieldName="TaxKeyword" ma:displayName="Enterprise Keywords" ma:fieldId="{23f27201-bee3-471e-b2e7-b64fd8b7ca38}" ma:taxonomyMulti="true" ma:sspId="7050a3c7-fb3a-4b40-ab38-d903da821e1d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35854-1d64-4175-b6ad-cd7f46c6d4f9" elementFormDefault="qualified">
    <xsd:import namespace="http://schemas.microsoft.com/office/2006/documentManagement/types"/>
    <xsd:import namespace="http://schemas.microsoft.com/office/infopath/2007/PartnerControls"/>
    <xsd:element name="b9bff81a260948438ab712aa3bf967dc" ma:index="9" nillable="true" ma:displayName="TRV_Records_Owner_0" ma:hidden="true" ma:internalName="b9bff81a260948438ab712aa3bf967dc" ma:readOnly="false">
      <xsd:simpleType>
        <xsd:restriction base="dms:Note"/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description="" ma:hidden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0da074-f544-4efd-b9b3-e449d81da6e0" xsi:nil="true"/>
    <TaxKeywordTaxHTField xmlns="6b0da074-f544-4efd-b9b3-e449d81da6e0">
      <Terms xmlns="http://schemas.microsoft.com/office/infopath/2007/PartnerControls"/>
    </TaxKeywordTaxHTField>
    <TRV_DivisionTaxHTField0 xmlns="6b0da074-f544-4efd-b9b3-e449d81da6e0" xsi:nil="true"/>
    <b9bff81a260948438ab712aa3bf967dc xmlns="f4635854-1d64-4175-b6ad-cd7f46c6d4f9" xsi:nil="true"/>
    <TRV_Archived xmlns="6b0da074-f544-4efd-b9b3-e449d81da6e0">true</TRV_Archived>
  </documentManagement>
</p:properties>
</file>

<file path=customXml/itemProps1.xml><?xml version="1.0" encoding="utf-8"?>
<ds:datastoreItem xmlns:ds="http://schemas.openxmlformats.org/officeDocument/2006/customXml" ds:itemID="{3C6C95AD-879C-427A-A11B-9F7F74EC0A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9F480A-0D36-4460-9350-C9FDDD78F2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0da074-f544-4efd-b9b3-e449d81da6e0"/>
    <ds:schemaRef ds:uri="f4635854-1d64-4175-b6ad-cd7f46c6d4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80C5B2-22B6-46D7-A0F6-29C4F66B2078}">
  <ds:schemaRefs>
    <ds:schemaRef ds:uri="http://schemas.microsoft.com/office/2006/metadata/properties"/>
    <ds:schemaRef ds:uri="http://schemas.microsoft.com/office/infopath/2007/PartnerControls"/>
    <ds:schemaRef ds:uri="6b0da074-f544-4efd-b9b3-e449d81da6e0"/>
    <ds:schemaRef ds:uri="f4635854-1d64-4175-b6ad-cd7f46c6d4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Contractor's Equipment</vt:lpstr>
      <vt:lpstr>Employee tools</vt:lpstr>
      <vt:lpstr>Materials </vt:lpstr>
    </vt:vector>
  </TitlesOfParts>
  <Manager/>
  <Company>St. Paul Travelers - Office and Outlook 2003 v1.0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abrown3</dc:creator>
  <cp:keywords/>
  <dc:description/>
  <cp:lastModifiedBy>Jamie Lemay</cp:lastModifiedBy>
  <cp:revision/>
  <cp:lastPrinted>2026-02-13T19:02:25Z</cp:lastPrinted>
  <dcterms:created xsi:type="dcterms:W3CDTF">2011-07-21T15:28:54Z</dcterms:created>
  <dcterms:modified xsi:type="dcterms:W3CDTF">2026-02-13T19:02:29Z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0x010100848E0716228A0A4A9F9A4FE851A5DEE0</vt:lpwstr>
  </property>
  <property fmtid="{D5CDD505-2E9C-101B-9397-08002B2CF9AE}" pid="4" name="TRV_Records_Owner">
    <vt:lpwstr/>
  </property>
  <property fmtid="{D5CDD505-2E9C-101B-9397-08002B2CF9AE}" pid="5" name="TRV_Division">
    <vt:lpwstr/>
  </property>
  <property fmtid="{D5CDD505-2E9C-101B-9397-08002B2CF9AE}" pid="6" name="MSIP_Label_290f5e94-b30f-4e73-9b6b-e333361c0d6b_Enabled">
    <vt:lpwstr>true</vt:lpwstr>
  </property>
  <property fmtid="{D5CDD505-2E9C-101B-9397-08002B2CF9AE}" pid="7" name="MSIP_Label_290f5e94-b30f-4e73-9b6b-e333361c0d6b_SetDate">
    <vt:lpwstr>2024-07-03T17:40:58Z</vt:lpwstr>
  </property>
  <property fmtid="{D5CDD505-2E9C-101B-9397-08002B2CF9AE}" pid="8" name="MSIP_Label_290f5e94-b30f-4e73-9b6b-e333361c0d6b_Method">
    <vt:lpwstr>Standard</vt:lpwstr>
  </property>
  <property fmtid="{D5CDD505-2E9C-101B-9397-08002B2CF9AE}" pid="9" name="MSIP_Label_290f5e94-b30f-4e73-9b6b-e333361c0d6b_Name">
    <vt:lpwstr>290f5e94-b30f-4e73-9b6b-e333361c0d6b</vt:lpwstr>
  </property>
  <property fmtid="{D5CDD505-2E9C-101B-9397-08002B2CF9AE}" pid="10" name="MSIP_Label_290f5e94-b30f-4e73-9b6b-e333361c0d6b_SiteId">
    <vt:lpwstr>399ead0d-c7c4-4583-88a4-d98814f80b0e</vt:lpwstr>
  </property>
  <property fmtid="{D5CDD505-2E9C-101B-9397-08002B2CF9AE}" pid="11" name="MSIP_Label_290f5e94-b30f-4e73-9b6b-e333361c0d6b_ContentBits">
    <vt:lpwstr>0</vt:lpwstr>
  </property>
</Properties>
</file>