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Westside Mechanical Group/"/>
    </mc:Choice>
  </mc:AlternateContent>
  <xr:revisionPtr revIDLastSave="0" documentId="13_ncr:1_{44DB52DB-DEB7-E742-8984-FBE1AD70FF53}" xr6:coauthVersionLast="47" xr6:coauthVersionMax="47" xr10:uidLastSave="{00000000-0000-0000-0000-000000000000}"/>
  <bookViews>
    <workbookView xWindow="4980" yWindow="178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93" i="1" l="1"/>
  <c r="E90" i="1"/>
  <c r="E87" i="1"/>
  <c r="E84" i="1"/>
  <c r="M80" i="1"/>
  <c r="K80" i="1"/>
  <c r="H80" i="1"/>
  <c r="G78" i="1"/>
  <c r="M25" i="1"/>
  <c r="K25" i="1"/>
  <c r="H25" i="1"/>
  <c r="K59" i="1"/>
  <c r="H59" i="1"/>
  <c r="E80" i="1"/>
  <c r="L53" i="1"/>
  <c r="H53" i="1"/>
  <c r="E53" i="1"/>
  <c r="L52" i="1"/>
  <c r="H52" i="1"/>
  <c r="E52" i="1"/>
  <c r="L51" i="1"/>
  <c r="H51" i="1"/>
  <c r="E51" i="1"/>
  <c r="L50" i="1"/>
  <c r="H50" i="1"/>
  <c r="E50" i="1"/>
  <c r="L49" i="1"/>
  <c r="H49" i="1"/>
  <c r="E49" i="1"/>
  <c r="L48" i="1"/>
  <c r="H48" i="1"/>
  <c r="E48" i="1"/>
  <c r="L57" i="1"/>
  <c r="H57" i="1"/>
  <c r="E57" i="1"/>
  <c r="L56" i="1"/>
  <c r="H56" i="1"/>
  <c r="E56" i="1"/>
  <c r="L55" i="1"/>
  <c r="H55" i="1"/>
  <c r="E55" i="1"/>
  <c r="L54" i="1"/>
  <c r="H54" i="1"/>
  <c r="E54" i="1"/>
  <c r="L47" i="1"/>
  <c r="H47" i="1"/>
  <c r="E47" i="1"/>
  <c r="L46" i="1"/>
  <c r="H46" i="1"/>
  <c r="E46" i="1"/>
  <c r="L45" i="1"/>
  <c r="H45" i="1"/>
  <c r="E45" i="1"/>
  <c r="L78" i="1"/>
  <c r="H78" i="1"/>
  <c r="E78" i="1"/>
  <c r="L77" i="1"/>
  <c r="H77" i="1"/>
  <c r="E77" i="1"/>
  <c r="L76" i="1"/>
  <c r="H76" i="1"/>
  <c r="E76" i="1"/>
  <c r="L75" i="1"/>
  <c r="H75" i="1"/>
  <c r="E75" i="1"/>
  <c r="L44" i="1"/>
  <c r="H44" i="1"/>
  <c r="E44" i="1"/>
  <c r="L43" i="1"/>
  <c r="H43" i="1"/>
  <c r="E43" i="1"/>
  <c r="L42" i="1"/>
  <c r="H42" i="1"/>
  <c r="E42" i="1"/>
  <c r="L41" i="1"/>
  <c r="H41" i="1"/>
  <c r="E41" i="1"/>
  <c r="L40" i="1"/>
  <c r="H40" i="1"/>
  <c r="E40" i="1"/>
  <c r="L39" i="1"/>
  <c r="H39" i="1"/>
  <c r="E39" i="1"/>
  <c r="L38" i="1"/>
  <c r="H38" i="1"/>
  <c r="E38" i="1"/>
  <c r="L37" i="1"/>
  <c r="H37" i="1"/>
  <c r="E37" i="1"/>
  <c r="L36" i="1"/>
  <c r="H36" i="1"/>
  <c r="E36" i="1"/>
  <c r="L35" i="1"/>
  <c r="H35" i="1"/>
  <c r="E35" i="1"/>
  <c r="L34" i="1"/>
  <c r="H34" i="1"/>
  <c r="E34" i="1"/>
  <c r="L33" i="1"/>
  <c r="H33" i="1"/>
  <c r="E33" i="1"/>
  <c r="L32" i="1"/>
  <c r="H32" i="1"/>
  <c r="E32" i="1"/>
  <c r="L23" i="1"/>
  <c r="H23" i="1"/>
  <c r="E23" i="1"/>
  <c r="L22" i="1"/>
  <c r="H22" i="1"/>
  <c r="E22" i="1"/>
  <c r="L21" i="1"/>
  <c r="H21" i="1"/>
  <c r="E21" i="1"/>
  <c r="L20" i="1"/>
  <c r="H20" i="1"/>
  <c r="E20" i="1"/>
  <c r="H11" i="1"/>
  <c r="L67" i="1"/>
  <c r="L68" i="1"/>
  <c r="L69" i="1"/>
  <c r="L70" i="1"/>
  <c r="L71" i="1"/>
  <c r="L72" i="1"/>
  <c r="L73" i="1"/>
  <c r="L74" i="1"/>
  <c r="H66" i="1"/>
  <c r="L66" i="1"/>
  <c r="L11" i="1"/>
  <c r="L12" i="1"/>
  <c r="L13" i="1"/>
  <c r="L14" i="1"/>
  <c r="L15" i="1"/>
  <c r="L16" i="1"/>
  <c r="L17" i="1"/>
  <c r="L18" i="1"/>
  <c r="L19" i="1"/>
  <c r="E13" i="1"/>
  <c r="H13" i="1"/>
  <c r="E14" i="1"/>
  <c r="H14" i="1"/>
  <c r="E15" i="1"/>
  <c r="H15" i="1"/>
  <c r="E16" i="1"/>
  <c r="H16" i="1"/>
  <c r="E17" i="1"/>
  <c r="H17" i="1"/>
  <c r="E18" i="1"/>
  <c r="H18" i="1"/>
  <c r="E19" i="1"/>
  <c r="H19" i="1"/>
  <c r="E68" i="1"/>
  <c r="H68" i="1"/>
  <c r="E69" i="1"/>
  <c r="H69" i="1"/>
  <c r="E70" i="1"/>
  <c r="H70" i="1"/>
  <c r="E71" i="1"/>
  <c r="H71" i="1"/>
  <c r="E72" i="1"/>
  <c r="H72" i="1"/>
  <c r="E73" i="1"/>
  <c r="H73" i="1"/>
  <c r="E74" i="1"/>
  <c r="H74" i="1"/>
  <c r="E11" i="1"/>
  <c r="K70" i="1" l="1"/>
  <c r="M70" i="1" s="1"/>
  <c r="K69" i="1"/>
  <c r="M69" i="1" s="1"/>
  <c r="K66" i="1"/>
  <c r="K16" i="1"/>
  <c r="M16" i="1" s="1"/>
  <c r="K15" i="1"/>
  <c r="M15" i="1" s="1"/>
  <c r="K13" i="1"/>
  <c r="K49" i="1"/>
  <c r="M49" i="1" s="1"/>
  <c r="K14" i="1"/>
  <c r="M14" i="1" s="1"/>
  <c r="K71" i="1"/>
  <c r="M71" i="1" s="1"/>
  <c r="K72" i="1"/>
  <c r="M72" i="1" s="1"/>
  <c r="K73" i="1"/>
  <c r="M73" i="1" s="1"/>
  <c r="K53" i="1"/>
  <c r="M53" i="1" s="1"/>
  <c r="K52" i="1"/>
  <c r="M52" i="1" s="1"/>
  <c r="K51" i="1"/>
  <c r="M51" i="1" s="1"/>
  <c r="K50" i="1"/>
  <c r="M50" i="1" s="1"/>
  <c r="K48" i="1"/>
  <c r="M48" i="1" s="1"/>
  <c r="E58" i="1"/>
  <c r="E59" i="1" s="1"/>
  <c r="E60" i="1" s="1"/>
  <c r="K74" i="1"/>
  <c r="M74" i="1" s="1"/>
  <c r="K57" i="1"/>
  <c r="M57" i="1" s="1"/>
  <c r="K56" i="1"/>
  <c r="M56" i="1" s="1"/>
  <c r="K55" i="1"/>
  <c r="M55" i="1" s="1"/>
  <c r="K54" i="1"/>
  <c r="M54" i="1" s="1"/>
  <c r="K47" i="1"/>
  <c r="M47" i="1" s="1"/>
  <c r="K46" i="1"/>
  <c r="M46" i="1" s="1"/>
  <c r="K45" i="1"/>
  <c r="M45" i="1" s="1"/>
  <c r="K78" i="1"/>
  <c r="M78" i="1" s="1"/>
  <c r="K77" i="1"/>
  <c r="M77" i="1" s="1"/>
  <c r="K76" i="1"/>
  <c r="M76" i="1" s="1"/>
  <c r="K75" i="1"/>
  <c r="M75" i="1" s="1"/>
  <c r="K68" i="1"/>
  <c r="M68" i="1" s="1"/>
  <c r="K44" i="1"/>
  <c r="M44" i="1" s="1"/>
  <c r="K43" i="1"/>
  <c r="M43" i="1" s="1"/>
  <c r="K42" i="1"/>
  <c r="M42" i="1" s="1"/>
  <c r="K41" i="1"/>
  <c r="M41" i="1" s="1"/>
  <c r="K17" i="1"/>
  <c r="M17" i="1" s="1"/>
  <c r="K18" i="1"/>
  <c r="M18" i="1" s="1"/>
  <c r="K19" i="1"/>
  <c r="M19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M34" i="1" s="1"/>
  <c r="K33" i="1"/>
  <c r="M33" i="1" s="1"/>
  <c r="K32" i="1"/>
  <c r="H58" i="1"/>
  <c r="H60" i="1" s="1"/>
  <c r="K23" i="1"/>
  <c r="M23" i="1" s="1"/>
  <c r="K22" i="1"/>
  <c r="M22" i="1" s="1"/>
  <c r="K21" i="1"/>
  <c r="M21" i="1" s="1"/>
  <c r="K20" i="1"/>
  <c r="M20" i="1" s="1"/>
  <c r="K11" i="1"/>
  <c r="M13" i="1"/>
  <c r="K58" i="1" l="1"/>
  <c r="K60" i="1" s="1"/>
  <c r="M32" i="1"/>
  <c r="M58" i="1" s="1"/>
  <c r="M60" i="1" s="1"/>
  <c r="E67" i="1"/>
  <c r="H67" i="1"/>
  <c r="K67" i="1" s="1"/>
  <c r="E12" i="1"/>
  <c r="H12" i="1"/>
  <c r="K12" i="1" s="1"/>
  <c r="M67" i="1" l="1"/>
  <c r="E24" i="1"/>
  <c r="E25" i="1" s="1"/>
  <c r="E26" i="1" s="1"/>
  <c r="M12" i="1"/>
  <c r="E66" i="1"/>
  <c r="H79" i="1" l="1"/>
  <c r="H81" i="1" s="1"/>
  <c r="H24" i="1"/>
  <c r="H26" i="1" s="1"/>
  <c r="E79" i="1"/>
  <c r="E81" i="1" s="1"/>
  <c r="K24" i="1"/>
  <c r="K26" i="1" s="1"/>
  <c r="K79" i="1" l="1"/>
  <c r="K81" i="1" s="1"/>
  <c r="M66" i="1"/>
  <c r="M79" i="1" s="1"/>
  <c r="M81" i="1" s="1"/>
  <c r="M11" i="1"/>
  <c r="M24" i="1" s="1"/>
  <c r="M26" i="1" s="1"/>
</calcChain>
</file>

<file path=xl/sharedStrings.xml><?xml version="1.0" encoding="utf-8"?>
<sst xmlns="http://schemas.openxmlformats.org/spreadsheetml/2006/main" count="229" uniqueCount="97">
  <si>
    <t>COLOR DENOTES PRICING DISCREPANCY</t>
  </si>
  <si>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</si>
  <si>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</si>
  <si>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</si>
  <si>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</si>
  <si>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</si>
  <si>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</si>
  <si>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</si>
  <si>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</si>
  <si>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</si>
  <si>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</si>
  <si>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</si>
  <si>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</si>
  <si>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</si>
  <si>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</si>
  <si>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</si>
  <si>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TOTAL PRESENTED</t>
  </si>
  <si>
    <t>TOTAL RESEARCHED RCV</t>
  </si>
  <si>
    <t>TOTAL ACV</t>
  </si>
  <si>
    <t>TOTAL DEPRECIATION</t>
  </si>
  <si>
    <t>INSURED: WESTSIDE MECHANICAL GROUP</t>
  </si>
  <si>
    <t xml:space="preserve">LSG MATTER #: 787200.12866-00 </t>
  </si>
  <si>
    <t>CLAIM #: F2X8905</t>
  </si>
  <si>
    <t>DATE OF LOSS: 1/15/2026</t>
  </si>
  <si>
    <t>CAUSE OF LOSS: VANDALISM / THEFT</t>
  </si>
  <si>
    <t>DEWALT IMPACTS (20V XR LITIUM ION)</t>
  </si>
  <si>
    <t>DEWALT DOT LASERS (RED SELF LEVELING 3-SPOT)</t>
  </si>
  <si>
    <t>HILTI SHOOTER (DX351)</t>
  </si>
  <si>
    <t>DEWALT SAWZALLS (DCS38013)</t>
  </si>
  <si>
    <t>HILTI HAMMER DRILLS (TE-4)</t>
  </si>
  <si>
    <t>DEWALT LARGE BANDSAWS (20V XR CORDLESS)</t>
  </si>
  <si>
    <t>DEWALT 20V MAX XR BATTERIES</t>
  </si>
  <si>
    <t>TOOL BAGS</t>
  </si>
  <si>
    <t>DEWALT TOUCHSCREEN SPEAKER/RADIO</t>
  </si>
  <si>
    <t>DEWALT DOUBLE CUTS (20V MAX SWIVEL)</t>
  </si>
  <si>
    <t>DEWALT DRILLS (20V MAX XR)</t>
  </si>
  <si>
    <t>STINGER/ELECTRODE HOLDER</t>
  </si>
  <si>
    <t>WELDING GROUND CLAMP</t>
  </si>
  <si>
    <t>CONTRACTOR'S EQUIPMENT</t>
  </si>
  <si>
    <t>JBL XTREME 4 SPEAKER</t>
  </si>
  <si>
    <t>AIRPOD PRO GEN 3</t>
  </si>
  <si>
    <t>DEWALT 33 TOOL BACKPACK</t>
  </si>
  <si>
    <t>IMPACT DRILL</t>
  </si>
  <si>
    <t>DRILL BIT SET</t>
  </si>
  <si>
    <t>ALLEN KEY SETS</t>
  </si>
  <si>
    <t>PHILLIP SCREW DRIVERS</t>
  </si>
  <si>
    <t>FLATHEAD SCREW DRIVERS</t>
  </si>
  <si>
    <t>9/16 12" NUT RUNNER</t>
  </si>
  <si>
    <t>90 DEGREE ANGLE ADAPTER</t>
  </si>
  <si>
    <t>6" 5/16 EXTENSION</t>
  </si>
  <si>
    <t>12" 5/16 EXTENSION</t>
  </si>
  <si>
    <t>ADJUSTABLE WRENCH</t>
  </si>
  <si>
    <t>TIN HAMMER</t>
  </si>
  <si>
    <t>PRY BAR</t>
  </si>
  <si>
    <t>SET TOOL</t>
  </si>
  <si>
    <t>SCRIBER</t>
  </si>
  <si>
    <t>CIRCUMFERENCE TAPE</t>
  </si>
  <si>
    <t>DEWALT 25' TAPE</t>
  </si>
  <si>
    <t>ARCHITECTURAL SCALE RULER</t>
  </si>
  <si>
    <t>INSULATION KNIFE</t>
  </si>
  <si>
    <t>UTILITY KNIFE</t>
  </si>
  <si>
    <t>SCRATCH AWL</t>
  </si>
  <si>
    <t>COMBO SQUARE</t>
  </si>
  <si>
    <t>SPEED SQUARE</t>
  </si>
  <si>
    <t>MILWAUKEE HEAD LAMP</t>
  </si>
  <si>
    <t>EMPLOYEE TOOLS</t>
  </si>
  <si>
    <t>MATERIALS</t>
  </si>
  <si>
    <t>2" COPPER PIPE</t>
  </si>
  <si>
    <t>3/4" COPPER PIPE</t>
  </si>
  <si>
    <t>1-1/2" COPPER PIPE</t>
  </si>
  <si>
    <t>1" COPPER PIPE</t>
  </si>
  <si>
    <t>3/4" PROPRESS 90</t>
  </si>
  <si>
    <t>3/4" PROPRESS COUPLINGS</t>
  </si>
  <si>
    <t>1" × 3/4" PROPRESS TEES</t>
  </si>
  <si>
    <t>1" COPPER SWT 90</t>
  </si>
  <si>
    <t>3/4" COPPER SWT 90</t>
  </si>
  <si>
    <t>3/4" COPPER SWT COUPLINGS</t>
  </si>
  <si>
    <t>1/0 WELDING CABLE</t>
  </si>
  <si>
    <t>CONTROL VALVES (36)</t>
  </si>
  <si>
    <t>SALES TAX (7.75%)</t>
  </si>
  <si>
    <t>AVERAGE</t>
  </si>
  <si>
    <t>AIRPOD PRO GEN 3 HEADPHONES.</t>
  </si>
  <si>
    <t xml:space="preserve">SIXTY (60) FEET OF TWO (2) INCH COPPER PIPE. </t>
  </si>
  <si>
    <t>FIVE HUNDRED (500) FEET OF 3/4" COPPER PIPE.</t>
  </si>
  <si>
    <t>ONE HUNDRED (100) FEET OF 1-1/2 INCH COPPER PIPE.</t>
  </si>
  <si>
    <t>ONE HUNDRED (100) FEET OF 1 INCH COPPER PIPE</t>
  </si>
  <si>
    <t>ONE HUNDRED (100) 3/4 INCH PROPRESS 90 DEGREES</t>
  </si>
  <si>
    <t>ONE HUNDRED (100) 3/4 INCH PROPRESS COUPLINGS</t>
  </si>
  <si>
    <t>TEN (10) 1-3/4 INCH PROPRESS TEE FITTINGS</t>
  </si>
  <si>
    <t>NEW / UNUSED</t>
  </si>
  <si>
    <t>TWENTY (20) 1 INCH COPPER SWT 90 DEGREES</t>
  </si>
  <si>
    <t>TWENTY (20) 3/4 INHCH COPPER SWT 90 DEGREES</t>
  </si>
  <si>
    <t>TWENTY (20) 3/4 INCH COPPER SWEAT COUPLINGS</t>
  </si>
  <si>
    <t>FOUR HUNDREAD (400) FEET OF 1/0 AWG WELDING CABLE</t>
  </si>
  <si>
    <t>CONTROL VALVES (36) (BELIMO BRAND)</t>
  </si>
  <si>
    <t>SUPPLY SIDE = THIRTY SIX (36) 3/4 INCH COMBINATION BALL VAVE WITH DTRAINER AND A BLOW DOWN DRAIN WITH CAP. RETURN SIDE = THIRTY SIX (36) 3/4 INCH MANUAL BALANCE VALVE WITH TWO PORTS. (TOTAL VALVE ASSEMBLIES = 72)</t>
  </si>
  <si>
    <t>IMI COIL PACKS (SUPPLY SIDE VALVES AND RETURN SIDE VALVES)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</si>
</sst>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51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wrapText="1"/>
    </xf>
    <xf numFmtId="0" fontId="7" fillId="2" borderId="16" xfId="0" applyFont="1" applyFill="1" applyBorder="1" applyAlignment="1">
      <alignment horizontal="center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44" fontId="7" fillId="2" borderId="16" xfId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left" wrapText="1"/>
    </xf>
    <xf numFmtId="0" fontId="7" fillId="2" borderId="16" xfId="1" applyNumberFormat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0" fontId="6" fillId="0" borderId="0" xfId="0" applyFont="1" applyAlignment="1">
      <alignment horizontal="left" vertical="center" wrapText="1"/>
    </xf>
    <xf numFmtId="44" fontId="7" fillId="0" borderId="0" xfId="0" applyNumberFormat="1" applyFont="1" applyAlignment="1">
      <alignment horizont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7" fillId="4" borderId="16" xfId="0" applyFont="1" applyFill="1" applyBorder="1" applyAlignment="1">
      <alignment horizontal="left" wrapText="1"/>
    </xf>
    <xf numFmtId="0" fontId="7" fillId="4" borderId="16" xfId="0" applyFont="1" applyFill="1" applyBorder="1" applyAlignment="1">
      <alignment horizontal="center"/>
    </xf>
    <xf numFmtId="44" fontId="7" fillId="4" borderId="16" xfId="1" applyFont="1" applyFill="1" applyBorder="1" applyAlignment="1">
      <alignment horizontal="center"/>
    </xf>
    <xf numFmtId="0" fontId="7" fillId="4" borderId="16" xfId="1" applyNumberFormat="1" applyFont="1" applyFill="1" applyBorder="1" applyAlignment="1">
      <alignment horizontal="center"/>
    </xf>
    <xf numFmtId="9" fontId="7" fillId="4" borderId="16" xfId="6" applyFont="1" applyFill="1" applyBorder="1" applyAlignment="1">
      <alignment horizontal="center"/>
    </xf>
    <xf numFmtId="0" fontId="7" fillId="4" borderId="16" xfId="1" applyNumberFormat="1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0" borderId="18" xfId="1" applyNumberFormat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4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left" wrapText="1"/>
    </xf>
    <xf numFmtId="0" fontId="7" fillId="2" borderId="25" xfId="0" applyFont="1" applyFill="1" applyBorder="1" applyAlignment="1">
      <alignment horizontal="center"/>
    </xf>
    <xf numFmtId="0" fontId="7" fillId="0" borderId="25" xfId="0" applyFont="1" applyBorder="1" applyAlignment="1">
      <alignment horizontal="left" wrapText="1"/>
    </xf>
    <xf numFmtId="44" fontId="7" fillId="2" borderId="25" xfId="1" applyFont="1" applyFill="1" applyBorder="1" applyAlignment="1">
      <alignment horizontal="center"/>
    </xf>
    <xf numFmtId="0" fontId="7" fillId="2" borderId="25" xfId="1" applyNumberFormat="1" applyFont="1" applyFill="1" applyBorder="1" applyAlignment="1">
      <alignment horizontal="center"/>
    </xf>
    <xf numFmtId="9" fontId="7" fillId="2" borderId="25" xfId="6" applyFont="1" applyFill="1" applyBorder="1" applyAlignment="1">
      <alignment horizontal="center"/>
    </xf>
    <xf numFmtId="0" fontId="7" fillId="2" borderId="25" xfId="1" applyNumberFormat="1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left" wrapText="1"/>
    </xf>
    <xf numFmtId="0" fontId="7" fillId="2" borderId="26" xfId="0" applyFont="1" applyFill="1" applyBorder="1" applyAlignment="1">
      <alignment horizontal="center"/>
    </xf>
    <xf numFmtId="0" fontId="7" fillId="0" borderId="27" xfId="0" applyFont="1" applyBorder="1" applyAlignment="1">
      <alignment horizontal="left" wrapText="1"/>
    </xf>
    <xf numFmtId="0" fontId="7" fillId="2" borderId="27" xfId="0" applyFont="1" applyFill="1" applyBorder="1" applyAlignment="1">
      <alignment horizontal="center"/>
    </xf>
    <xf numFmtId="44" fontId="7" fillId="2" borderId="27" xfId="1" applyFont="1" applyFill="1" applyBorder="1" applyAlignment="1">
      <alignment horizontal="center"/>
    </xf>
    <xf numFmtId="0" fontId="7" fillId="2" borderId="27" xfId="1" applyNumberFormat="1" applyFont="1" applyFill="1" applyBorder="1" applyAlignment="1">
      <alignment horizontal="center"/>
    </xf>
    <xf numFmtId="9" fontId="7" fillId="2" borderId="27" xfId="6" applyFont="1" applyFill="1" applyBorder="1" applyAlignment="1">
      <alignment horizontal="center"/>
    </xf>
    <xf numFmtId="0" fontId="7" fillId="2" borderId="27" xfId="1" applyNumberFormat="1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left" wrapText="1"/>
    </xf>
    <xf numFmtId="0" fontId="7" fillId="2" borderId="29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left" wrapText="1"/>
    </xf>
    <xf numFmtId="0" fontId="7" fillId="0" borderId="30" xfId="0" applyFont="1" applyBorder="1" applyAlignment="1">
      <alignment horizontal="left" wrapText="1"/>
    </xf>
    <xf numFmtId="0" fontId="7" fillId="2" borderId="31" xfId="0" applyFont="1" applyFill="1" applyBorder="1" applyAlignment="1">
      <alignment horizontal="center"/>
    </xf>
    <xf numFmtId="0" fontId="7" fillId="0" borderId="32" xfId="0" applyFont="1" applyBorder="1" applyAlignment="1">
      <alignment horizontal="left" wrapText="1"/>
    </xf>
    <xf numFmtId="0" fontId="7" fillId="2" borderId="32" xfId="0" applyFont="1" applyFill="1" applyBorder="1" applyAlignment="1">
      <alignment horizontal="center"/>
    </xf>
    <xf numFmtId="44" fontId="7" fillId="2" borderId="32" xfId="1" applyFont="1" applyFill="1" applyBorder="1" applyAlignment="1">
      <alignment horizontal="center"/>
    </xf>
    <xf numFmtId="0" fontId="7" fillId="2" borderId="32" xfId="1" applyNumberFormat="1" applyFont="1" applyFill="1" applyBorder="1" applyAlignment="1">
      <alignment horizontal="center"/>
    </xf>
    <xf numFmtId="9" fontId="7" fillId="2" borderId="32" xfId="6" applyFont="1" applyFill="1" applyBorder="1" applyAlignment="1">
      <alignment horizontal="center"/>
    </xf>
    <xf numFmtId="0" fontId="7" fillId="2" borderId="32" xfId="1" applyNumberFormat="1" applyFont="1" applyFill="1" applyBorder="1" applyAlignment="1">
      <alignment horizontal="center" wrapText="1"/>
    </xf>
    <xf numFmtId="0" fontId="7" fillId="0" borderId="33" xfId="0" applyFont="1" applyBorder="1" applyAlignment="1">
      <alignment horizontal="left" wrapText="1"/>
    </xf>
    <xf numFmtId="0" fontId="7" fillId="0" borderId="16" xfId="0" applyFont="1" applyBorder="1" applyAlignment="1">
      <alignment horizontal="center"/>
    </xf>
    <xf numFmtId="0" fontId="7" fillId="2" borderId="27" xfId="0" applyFont="1" applyFill="1" applyBorder="1" applyAlignment="1">
      <alignment horizontal="left" wrapText="1"/>
    </xf>
    <xf numFmtId="0" fontId="7" fillId="2" borderId="32" xfId="0" applyFont="1" applyFill="1" applyBorder="1" applyAlignment="1">
      <alignment horizontal="left" wrapText="1"/>
    </xf>
    <xf numFmtId="0" fontId="7" fillId="2" borderId="33" xfId="0" applyFont="1" applyFill="1" applyBorder="1" applyAlignment="1">
      <alignment horizontal="left" wrapText="1"/>
    </xf>
    <xf numFmtId="44" fontId="7" fillId="0" borderId="0" xfId="0" applyNumberFormat="1" applyFont="1"/>
    <xf numFmtId="44" fontId="6" fillId="4" borderId="13" xfId="1" applyFont="1" applyFill="1" applyBorder="1" applyAlignment="1">
      <alignment horizontal="center" vertical="center"/>
    </xf>
    <xf numFmtId="44" fontId="7" fillId="4" borderId="15" xfId="1" applyFont="1" applyFill="1" applyBorder="1" applyAlignment="1"/>
    <xf numFmtId="44" fontId="6" fillId="4" borderId="15" xfId="1" applyFont="1" applyFill="1" applyBorder="1" applyAlignment="1"/>
    <xf numFmtId="44" fontId="6" fillId="4" borderId="13" xfId="1" applyFont="1" applyFill="1" applyBorder="1" applyAlignment="1"/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4"/>
  <sheetViews>
    <sheetView tabSelected="1" topLeftCell="A20" zoomScale="80" zoomScaleNormal="80" zoomScalePageLayoutView="90" workbookViewId="0">
      <selection activeCell="O26" sqref="O26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5" customWidth="1"/>
    <col min="4" max="5" width="17.6640625" style="5" customWidth="1"/>
    <col min="6" max="6" width="5.6640625" style="5" customWidth="1"/>
    <col min="7" max="8" width="17.6640625" style="5" customWidth="1"/>
    <col min="9" max="10" width="9.6640625" style="5" customWidth="1"/>
    <col min="11" max="13" width="17.6640625" style="5" customWidth="1"/>
    <col min="14" max="14" width="13.6640625" style="5" customWidth="1"/>
    <col min="15" max="15" width="47.6640625" style="9" customWidth="1"/>
    <col min="16" max="16" width="8.83203125" style="3"/>
    <col min="17" max="17" width="10.83203125" style="3" bestFit="1" customWidth="1"/>
    <col min="18" max="18" width="9.6640625" style="3" bestFit="1" customWidth="1"/>
    <col min="19" max="16384" width="8.83203125" style="3"/>
  </cols>
  <sheetData>
    <row r="1" spans="1:18" ht="15.75" customHeight="1" x14ac:dyDescent="0.2">
      <c r="A1" s="60" t="s">
        <v>20</v>
      </c>
      <c r="B1" s="61"/>
      <c r="C1" s="61"/>
      <c r="D1" s="61"/>
      <c r="E1" s="62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63" t="s">
        <v>21</v>
      </c>
      <c r="B2" s="64"/>
      <c r="C2" s="64"/>
      <c r="D2" s="64"/>
      <c r="E2" s="65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63" t="s">
        <v>22</v>
      </c>
      <c r="B3" s="64"/>
      <c r="C3" s="64"/>
      <c r="D3" s="64"/>
      <c r="E3" s="65"/>
      <c r="F3" s="1"/>
      <c r="G3" s="4"/>
      <c r="H3" s="4"/>
      <c r="I3" s="4"/>
      <c r="J3" s="1"/>
      <c r="K3" s="1"/>
      <c r="L3"/>
      <c r="M3" s="1"/>
      <c r="N3" s="1"/>
      <c r="O3" s="6"/>
      <c r="P3" s="6"/>
    </row>
    <row r="4" spans="1:18" ht="15.75" customHeight="1" x14ac:dyDescent="0.2">
      <c r="A4" s="63" t="s">
        <v>23</v>
      </c>
      <c r="B4" s="64"/>
      <c r="C4" s="64"/>
      <c r="D4" s="64"/>
      <c r="E4" s="65"/>
      <c r="F4" s="7"/>
      <c r="G4" s="72" t="s">
        <v>0</v>
      </c>
      <c r="H4" s="73"/>
      <c r="I4" s="4"/>
      <c r="J4" s="8"/>
      <c r="K4" s="8"/>
      <c r="L4" s="1"/>
      <c r="O4" s="3"/>
    </row>
    <row r="5" spans="1:18" ht="15.75" customHeight="1" x14ac:dyDescent="0.2">
      <c r="A5" s="66" t="s">
        <v>24</v>
      </c>
      <c r="B5" s="67"/>
      <c r="C5" s="67"/>
      <c r="D5" s="67"/>
      <c r="E5" s="68"/>
      <c r="F5" s="1"/>
      <c r="G5" s="74"/>
      <c r="H5" s="75"/>
      <c r="I5" s="4"/>
      <c r="J5" s="1"/>
      <c r="K5" s="1"/>
      <c r="L5" s="1"/>
      <c r="O5" s="3"/>
    </row>
    <row r="8" spans="1:18" s="10" customFormat="1" ht="25.5" customHeight="1" x14ac:dyDescent="0.15">
      <c r="A8" s="51" t="s">
        <v>38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3"/>
    </row>
    <row r="9" spans="1:18" ht="24" customHeight="1" x14ac:dyDescent="0.2">
      <c r="A9" s="41" t="s">
        <v>1</v>
      </c>
      <c r="B9" s="54" t="s">
        <v>2</v>
      </c>
      <c r="C9" s="56" t="s">
        <v>3</v>
      </c>
      <c r="D9" s="57"/>
      <c r="E9" s="58"/>
      <c r="F9" s="56" t="s">
        <v>4</v>
      </c>
      <c r="G9" s="57"/>
      <c r="H9" s="58"/>
      <c r="I9" s="39" t="s">
        <v>5</v>
      </c>
      <c r="J9" s="39" t="s">
        <v>6</v>
      </c>
      <c r="K9" s="39" t="s">
        <v>7</v>
      </c>
      <c r="L9" s="39" t="s">
        <v>8</v>
      </c>
      <c r="M9" s="39" t="s">
        <v>9</v>
      </c>
      <c r="N9" s="39" t="s">
        <v>10</v>
      </c>
      <c r="O9" s="41" t="s">
        <v>11</v>
      </c>
    </row>
    <row r="10" spans="1:18" s="5" customFormat="1" ht="24" customHeight="1" thickBot="1" x14ac:dyDescent="0.25">
      <c r="A10" s="42"/>
      <c r="B10" s="55"/>
      <c r="C10" s="12" t="s">
        <v>12</v>
      </c>
      <c r="D10" s="11" t="s">
        <v>13</v>
      </c>
      <c r="E10" s="13" t="s">
        <v>14</v>
      </c>
      <c r="F10" s="13" t="s">
        <v>12</v>
      </c>
      <c r="G10" s="13" t="s">
        <v>13</v>
      </c>
      <c r="H10" s="13" t="s">
        <v>14</v>
      </c>
      <c r="I10" s="40"/>
      <c r="J10" s="40"/>
      <c r="K10" s="40"/>
      <c r="L10" s="40"/>
      <c r="M10" s="40"/>
      <c r="N10" s="40"/>
      <c r="O10" s="42"/>
    </row>
    <row r="11" spans="1:18" s="5" customFormat="1" ht="65" customHeight="1" x14ac:dyDescent="0.2">
      <c r="A11" s="92">
        <v>1</v>
      </c>
      <c r="B11" s="93" t="s">
        <v>25</v>
      </c>
      <c r="C11" s="94">
        <v>3</v>
      </c>
      <c r="D11" s="95">
        <v>219.99</v>
      </c>
      <c r="E11" s="95">
        <f>C11*D11</f>
        <v>659.97</v>
      </c>
      <c r="F11" s="94">
        <v>3</v>
      </c>
      <c r="G11" s="95">
        <v>219.99</v>
      </c>
      <c r="H11" s="95">
        <f>F11*G11</f>
        <v>659.97</v>
      </c>
      <c r="I11" s="96">
        <v>0</v>
      </c>
      <c r="J11" s="97">
        <v>20</v>
      </c>
      <c r="K11" s="95">
        <f>H11*(1-L11)</f>
        <v>659.97</v>
      </c>
      <c r="L11" s="98">
        <f>IF((I11/J11)&gt;=0.75,0.75,IF((I11/J11)&gt;=0,(I11/J11),IF((I11/J11)&lt;=1,0)))</f>
        <v>0</v>
      </c>
      <c r="M11" s="95">
        <f>H11-K11</f>
        <v>0</v>
      </c>
      <c r="N11" s="99" t="s">
        <v>80</v>
      </c>
      <c r="O11" s="100" t="s">
        <v>25</v>
      </c>
      <c r="R11" s="38"/>
    </row>
    <row r="12" spans="1:18" s="5" customFormat="1" ht="65" customHeight="1" x14ac:dyDescent="0.2">
      <c r="A12" s="101">
        <v>2</v>
      </c>
      <c r="B12" s="14" t="s">
        <v>26</v>
      </c>
      <c r="C12" s="15">
        <v>2</v>
      </c>
      <c r="D12" s="16">
        <v>386.24</v>
      </c>
      <c r="E12" s="16">
        <f t="shared" ref="E12:E19" si="0">C12*D12</f>
        <v>772.48</v>
      </c>
      <c r="F12" s="15">
        <v>2</v>
      </c>
      <c r="G12" s="16">
        <v>386.24</v>
      </c>
      <c r="H12" s="16">
        <f t="shared" ref="H12" si="1">F12*G12</f>
        <v>772.48</v>
      </c>
      <c r="I12" s="17">
        <v>0</v>
      </c>
      <c r="J12" s="17">
        <v>20</v>
      </c>
      <c r="K12" s="18">
        <f t="shared" ref="K12:K19" si="2">H12*(1-L12)</f>
        <v>695.23200000000008</v>
      </c>
      <c r="L12" s="19">
        <f t="shared" ref="L12:L19" si="3">IF((I12/J12)&gt;=0.75,0.75,IF((I12/J12)&gt;=0.1,(I12/J12),IF((I12/J12)&lt;=0.1,0.1)))</f>
        <v>0.1</v>
      </c>
      <c r="M12" s="18">
        <f t="shared" ref="M12:M19" si="4">H12-K12</f>
        <v>77.247999999999934</v>
      </c>
      <c r="N12" s="20" t="s">
        <v>80</v>
      </c>
      <c r="O12" s="102" t="s">
        <v>26</v>
      </c>
    </row>
    <row r="13" spans="1:18" s="5" customFormat="1" ht="65" customHeight="1" x14ac:dyDescent="0.2">
      <c r="A13" s="103">
        <v>3</v>
      </c>
      <c r="B13" s="21" t="s">
        <v>27</v>
      </c>
      <c r="C13" s="15">
        <v>1</v>
      </c>
      <c r="D13" s="18">
        <v>1941</v>
      </c>
      <c r="E13" s="18">
        <f t="shared" si="0"/>
        <v>1941</v>
      </c>
      <c r="F13" s="15">
        <v>1</v>
      </c>
      <c r="G13" s="18">
        <v>1941</v>
      </c>
      <c r="H13" s="18">
        <f>F13*G13</f>
        <v>1941</v>
      </c>
      <c r="I13" s="17">
        <v>0</v>
      </c>
      <c r="J13" s="22">
        <v>20</v>
      </c>
      <c r="K13" s="18">
        <f t="shared" si="2"/>
        <v>1746.9</v>
      </c>
      <c r="L13" s="19">
        <f t="shared" si="3"/>
        <v>0.1</v>
      </c>
      <c r="M13" s="18">
        <f t="shared" si="4"/>
        <v>194.09999999999991</v>
      </c>
      <c r="N13" s="23" t="s">
        <v>80</v>
      </c>
      <c r="O13" s="104" t="s">
        <v>27</v>
      </c>
    </row>
    <row r="14" spans="1:18" s="5" customFormat="1" ht="65" customHeight="1" x14ac:dyDescent="0.2">
      <c r="A14" s="101">
        <v>4</v>
      </c>
      <c r="B14" s="14" t="s">
        <v>28</v>
      </c>
      <c r="C14" s="15">
        <v>2</v>
      </c>
      <c r="D14" s="16">
        <v>159.99</v>
      </c>
      <c r="E14" s="16">
        <f t="shared" si="0"/>
        <v>319.98</v>
      </c>
      <c r="F14" s="15">
        <v>2</v>
      </c>
      <c r="G14" s="16">
        <v>159.99</v>
      </c>
      <c r="H14" s="16">
        <f t="shared" ref="H14" si="5">F14*G14</f>
        <v>319.98</v>
      </c>
      <c r="I14" s="17">
        <v>1</v>
      </c>
      <c r="J14" s="17">
        <v>20</v>
      </c>
      <c r="K14" s="18">
        <f t="shared" si="2"/>
        <v>287.98200000000003</v>
      </c>
      <c r="L14" s="19">
        <f t="shared" si="3"/>
        <v>0.1</v>
      </c>
      <c r="M14" s="18">
        <f t="shared" si="4"/>
        <v>31.99799999999999</v>
      </c>
      <c r="N14" s="20" t="s">
        <v>80</v>
      </c>
      <c r="O14" s="102" t="s">
        <v>28</v>
      </c>
    </row>
    <row r="15" spans="1:18" s="5" customFormat="1" ht="65" customHeight="1" x14ac:dyDescent="0.2">
      <c r="A15" s="105">
        <v>5</v>
      </c>
      <c r="B15" s="86" t="s">
        <v>29</v>
      </c>
      <c r="C15" s="87">
        <v>2</v>
      </c>
      <c r="D15" s="88">
        <v>619.99</v>
      </c>
      <c r="E15" s="88">
        <f t="shared" si="0"/>
        <v>1239.98</v>
      </c>
      <c r="F15" s="87">
        <v>2</v>
      </c>
      <c r="G15" s="88">
        <v>366</v>
      </c>
      <c r="H15" s="88">
        <f>F15*G15</f>
        <v>732</v>
      </c>
      <c r="I15" s="89">
        <v>1</v>
      </c>
      <c r="J15" s="89">
        <v>20</v>
      </c>
      <c r="K15" s="88">
        <f t="shared" si="2"/>
        <v>658.80000000000007</v>
      </c>
      <c r="L15" s="90">
        <f t="shared" si="3"/>
        <v>0.1</v>
      </c>
      <c r="M15" s="88">
        <f t="shared" si="4"/>
        <v>73.199999999999932</v>
      </c>
      <c r="N15" s="91" t="s">
        <v>80</v>
      </c>
      <c r="O15" s="106" t="s">
        <v>29</v>
      </c>
    </row>
    <row r="16" spans="1:18" s="5" customFormat="1" ht="65" customHeight="1" x14ac:dyDescent="0.2">
      <c r="A16" s="105">
        <v>6</v>
      </c>
      <c r="B16" s="86" t="s">
        <v>30</v>
      </c>
      <c r="C16" s="87">
        <v>2</v>
      </c>
      <c r="D16" s="88">
        <v>519.99</v>
      </c>
      <c r="E16" s="88">
        <f t="shared" si="0"/>
        <v>1039.98</v>
      </c>
      <c r="F16" s="87">
        <v>2</v>
      </c>
      <c r="G16" s="88">
        <v>359</v>
      </c>
      <c r="H16" s="88">
        <f t="shared" ref="H16" si="6">F16*G16</f>
        <v>718</v>
      </c>
      <c r="I16" s="89">
        <v>0</v>
      </c>
      <c r="J16" s="89">
        <v>20</v>
      </c>
      <c r="K16" s="88">
        <f t="shared" si="2"/>
        <v>646.20000000000005</v>
      </c>
      <c r="L16" s="90">
        <f t="shared" si="3"/>
        <v>0.1</v>
      </c>
      <c r="M16" s="88">
        <f t="shared" si="4"/>
        <v>71.799999999999955</v>
      </c>
      <c r="N16" s="91" t="s">
        <v>80</v>
      </c>
      <c r="O16" s="106" t="s">
        <v>30</v>
      </c>
    </row>
    <row r="17" spans="1:15" s="5" customFormat="1" ht="65" customHeight="1" x14ac:dyDescent="0.2">
      <c r="A17" s="103">
        <v>7</v>
      </c>
      <c r="B17" s="21" t="s">
        <v>31</v>
      </c>
      <c r="C17" s="15">
        <v>5</v>
      </c>
      <c r="D17" s="18">
        <v>169.99</v>
      </c>
      <c r="E17" s="18">
        <f t="shared" si="0"/>
        <v>849.95</v>
      </c>
      <c r="F17" s="15">
        <v>5</v>
      </c>
      <c r="G17" s="18">
        <v>169.99</v>
      </c>
      <c r="H17" s="18">
        <f>F17*G17</f>
        <v>849.95</v>
      </c>
      <c r="I17" s="17">
        <v>0</v>
      </c>
      <c r="J17" s="22">
        <v>20</v>
      </c>
      <c r="K17" s="18">
        <f t="shared" si="2"/>
        <v>764.95500000000004</v>
      </c>
      <c r="L17" s="19">
        <f t="shared" si="3"/>
        <v>0.1</v>
      </c>
      <c r="M17" s="18">
        <f t="shared" si="4"/>
        <v>84.995000000000005</v>
      </c>
      <c r="N17" s="23" t="s">
        <v>80</v>
      </c>
      <c r="O17" s="104" t="s">
        <v>31</v>
      </c>
    </row>
    <row r="18" spans="1:15" s="5" customFormat="1" ht="65" customHeight="1" x14ac:dyDescent="0.2">
      <c r="A18" s="101">
        <v>8</v>
      </c>
      <c r="B18" s="14" t="s">
        <v>32</v>
      </c>
      <c r="C18" s="15">
        <v>2</v>
      </c>
      <c r="D18" s="16">
        <v>105</v>
      </c>
      <c r="E18" s="16">
        <f t="shared" si="0"/>
        <v>210</v>
      </c>
      <c r="F18" s="15">
        <v>2</v>
      </c>
      <c r="G18" s="16">
        <v>105</v>
      </c>
      <c r="H18" s="16">
        <f t="shared" ref="H18" si="7">F18*G18</f>
        <v>210</v>
      </c>
      <c r="I18" s="17">
        <v>0</v>
      </c>
      <c r="J18" s="17">
        <v>20</v>
      </c>
      <c r="K18" s="18">
        <f t="shared" si="2"/>
        <v>189</v>
      </c>
      <c r="L18" s="19">
        <f t="shared" si="3"/>
        <v>0.1</v>
      </c>
      <c r="M18" s="18">
        <f t="shared" si="4"/>
        <v>21</v>
      </c>
      <c r="N18" s="20" t="s">
        <v>80</v>
      </c>
      <c r="O18" s="102" t="s">
        <v>32</v>
      </c>
    </row>
    <row r="19" spans="1:15" s="5" customFormat="1" ht="65" customHeight="1" x14ac:dyDescent="0.2">
      <c r="A19" s="103">
        <v>9</v>
      </c>
      <c r="B19" s="21" t="s">
        <v>33</v>
      </c>
      <c r="C19" s="15">
        <v>1</v>
      </c>
      <c r="D19" s="18">
        <v>363.99</v>
      </c>
      <c r="E19" s="18">
        <f t="shared" si="0"/>
        <v>363.99</v>
      </c>
      <c r="F19" s="15">
        <v>1</v>
      </c>
      <c r="G19" s="18">
        <v>363.99</v>
      </c>
      <c r="H19" s="18">
        <f>F19*G19</f>
        <v>363.99</v>
      </c>
      <c r="I19" s="17">
        <v>0</v>
      </c>
      <c r="J19" s="22">
        <v>20</v>
      </c>
      <c r="K19" s="18">
        <f t="shared" si="2"/>
        <v>327.59100000000001</v>
      </c>
      <c r="L19" s="19">
        <f t="shared" si="3"/>
        <v>0.1</v>
      </c>
      <c r="M19" s="18">
        <f t="shared" si="4"/>
        <v>36.399000000000001</v>
      </c>
      <c r="N19" s="23" t="s">
        <v>80</v>
      </c>
      <c r="O19" s="104" t="s">
        <v>33</v>
      </c>
    </row>
    <row r="20" spans="1:15" s="5" customFormat="1" ht="65" customHeight="1" x14ac:dyDescent="0.2">
      <c r="A20" s="101">
        <v>4</v>
      </c>
      <c r="B20" s="14" t="s">
        <v>34</v>
      </c>
      <c r="C20" s="15">
        <v>2</v>
      </c>
      <c r="D20" s="16">
        <v>486.99</v>
      </c>
      <c r="E20" s="16">
        <f t="shared" ref="E20:E23" si="8">C20*D20</f>
        <v>973.98</v>
      </c>
      <c r="F20" s="15">
        <v>2</v>
      </c>
      <c r="G20" s="16">
        <v>239</v>
      </c>
      <c r="H20" s="16">
        <f t="shared" ref="H20" si="9">F20*G20</f>
        <v>478</v>
      </c>
      <c r="I20" s="17">
        <v>1</v>
      </c>
      <c r="J20" s="17">
        <v>20</v>
      </c>
      <c r="K20" s="18">
        <f t="shared" ref="K20:K23" si="10">H20*(1-L20)</f>
        <v>430.2</v>
      </c>
      <c r="L20" s="19">
        <f t="shared" ref="L20:L23" si="11">IF((I20/J20)&gt;=0.75,0.75,IF((I20/J20)&gt;=0.1,(I20/J20),IF((I20/J20)&lt;=0.1,0.1)))</f>
        <v>0.1</v>
      </c>
      <c r="M20" s="18">
        <f t="shared" ref="M20:M23" si="12">H20-K20</f>
        <v>47.800000000000011</v>
      </c>
      <c r="N20" s="20" t="s">
        <v>80</v>
      </c>
      <c r="O20" s="102" t="s">
        <v>34</v>
      </c>
    </row>
    <row r="21" spans="1:15" s="5" customFormat="1" ht="65" customHeight="1" x14ac:dyDescent="0.2">
      <c r="A21" s="105">
        <v>5</v>
      </c>
      <c r="B21" s="86" t="s">
        <v>35</v>
      </c>
      <c r="C21" s="87">
        <v>2</v>
      </c>
      <c r="D21" s="88">
        <v>375.99</v>
      </c>
      <c r="E21" s="88">
        <f t="shared" si="8"/>
        <v>751.98</v>
      </c>
      <c r="F21" s="87">
        <v>2</v>
      </c>
      <c r="G21" s="88">
        <v>123.47</v>
      </c>
      <c r="H21" s="88">
        <f>F21*G21</f>
        <v>246.94</v>
      </c>
      <c r="I21" s="89">
        <v>1</v>
      </c>
      <c r="J21" s="89">
        <v>20</v>
      </c>
      <c r="K21" s="88">
        <f t="shared" si="10"/>
        <v>222.24600000000001</v>
      </c>
      <c r="L21" s="90">
        <f t="shared" si="11"/>
        <v>0.1</v>
      </c>
      <c r="M21" s="88">
        <f t="shared" si="12"/>
        <v>24.693999999999988</v>
      </c>
      <c r="N21" s="91" t="s">
        <v>80</v>
      </c>
      <c r="O21" s="106" t="s">
        <v>35</v>
      </c>
    </row>
    <row r="22" spans="1:15" s="5" customFormat="1" ht="65" customHeight="1" x14ac:dyDescent="0.2">
      <c r="A22" s="101">
        <v>6</v>
      </c>
      <c r="B22" s="14" t="s">
        <v>36</v>
      </c>
      <c r="C22" s="15">
        <v>1</v>
      </c>
      <c r="D22" s="16">
        <v>75</v>
      </c>
      <c r="E22" s="16">
        <f t="shared" si="8"/>
        <v>75</v>
      </c>
      <c r="F22" s="15">
        <v>1</v>
      </c>
      <c r="G22" s="16">
        <v>75</v>
      </c>
      <c r="H22" s="16">
        <f t="shared" ref="H22" si="13">F22*G22</f>
        <v>75</v>
      </c>
      <c r="I22" s="17">
        <v>0</v>
      </c>
      <c r="J22" s="17">
        <v>20</v>
      </c>
      <c r="K22" s="18">
        <f t="shared" si="10"/>
        <v>67.5</v>
      </c>
      <c r="L22" s="19">
        <f t="shared" si="11"/>
        <v>0.1</v>
      </c>
      <c r="M22" s="18">
        <f t="shared" si="12"/>
        <v>7.5</v>
      </c>
      <c r="N22" s="20" t="s">
        <v>80</v>
      </c>
      <c r="O22" s="102" t="s">
        <v>36</v>
      </c>
    </row>
    <row r="23" spans="1:15" s="5" customFormat="1" ht="65" customHeight="1" thickBot="1" x14ac:dyDescent="0.25">
      <c r="A23" s="107">
        <v>7</v>
      </c>
      <c r="B23" s="108" t="s">
        <v>37</v>
      </c>
      <c r="C23" s="109">
        <v>1</v>
      </c>
      <c r="D23" s="110">
        <v>75</v>
      </c>
      <c r="E23" s="110">
        <f t="shared" si="8"/>
        <v>75</v>
      </c>
      <c r="F23" s="109">
        <v>1</v>
      </c>
      <c r="G23" s="110">
        <v>75</v>
      </c>
      <c r="H23" s="110">
        <f>F23*G23</f>
        <v>75</v>
      </c>
      <c r="I23" s="111">
        <v>0</v>
      </c>
      <c r="J23" s="112">
        <v>20</v>
      </c>
      <c r="K23" s="110">
        <f t="shared" si="10"/>
        <v>67.5</v>
      </c>
      <c r="L23" s="113">
        <f t="shared" si="11"/>
        <v>0.1</v>
      </c>
      <c r="M23" s="110">
        <f t="shared" si="12"/>
        <v>7.5</v>
      </c>
      <c r="N23" s="114" t="s">
        <v>80</v>
      </c>
      <c r="O23" s="115" t="s">
        <v>37</v>
      </c>
    </row>
    <row r="24" spans="1:15" s="5" customFormat="1" ht="18" customHeight="1" thickBot="1" x14ac:dyDescent="0.25">
      <c r="A24" s="77" t="s">
        <v>15</v>
      </c>
      <c r="B24" s="78"/>
      <c r="C24" s="78"/>
      <c r="D24" s="79"/>
      <c r="E24" s="147">
        <f>SUM(E11:E23)</f>
        <v>9273.2899999999991</v>
      </c>
      <c r="F24" s="25"/>
      <c r="G24" s="26"/>
      <c r="H24" s="150">
        <f>SUM(H11:H23)</f>
        <v>7442.3099999999995</v>
      </c>
      <c r="I24" s="80"/>
      <c r="J24" s="81"/>
      <c r="K24" s="28">
        <f>SUM(K11:K23)</f>
        <v>6764.0760000000009</v>
      </c>
      <c r="L24" s="28"/>
      <c r="M24" s="28">
        <f>SUM(M11:M23)</f>
        <v>678.2339999999997</v>
      </c>
      <c r="N24"/>
    </row>
    <row r="25" spans="1:15" s="5" customFormat="1" ht="18" customHeight="1" x14ac:dyDescent="0.2">
      <c r="A25" s="69" t="s">
        <v>79</v>
      </c>
      <c r="B25" s="70"/>
      <c r="C25" s="70"/>
      <c r="D25" s="71"/>
      <c r="E25" s="148">
        <f>E24*0.0775</f>
        <v>718.6799749999999</v>
      </c>
      <c r="F25" s="30"/>
      <c r="G25" s="31"/>
      <c r="H25" s="148">
        <f>H24*0.0775</f>
        <v>576.77902499999993</v>
      </c>
      <c r="I25" s="84"/>
      <c r="J25" s="85"/>
      <c r="K25" s="32">
        <f>K24*0.0775</f>
        <v>524.21589000000006</v>
      </c>
      <c r="L25" s="32"/>
      <c r="M25" s="32">
        <f>H25-K25</f>
        <v>52.563134999999875</v>
      </c>
      <c r="N25"/>
    </row>
    <row r="26" spans="1:15" s="5" customFormat="1" ht="18" customHeight="1" thickBot="1" x14ac:dyDescent="0.25">
      <c r="A26" s="69" t="s">
        <v>14</v>
      </c>
      <c r="B26" s="70"/>
      <c r="C26" s="70"/>
      <c r="D26" s="71"/>
      <c r="E26" s="149">
        <f>SUM(E24:E25)</f>
        <v>9991.9699749999982</v>
      </c>
      <c r="F26" s="34"/>
      <c r="G26" s="35"/>
      <c r="H26" s="149">
        <f>SUM(H24,H25)</f>
        <v>8019.0890249999993</v>
      </c>
      <c r="I26" s="82"/>
      <c r="J26" s="83"/>
      <c r="K26" s="36">
        <f>SUM(K24:K25)</f>
        <v>7288.2918900000013</v>
      </c>
      <c r="L26" s="36"/>
      <c r="M26" s="36">
        <f>SUM(M24:M25)</f>
        <v>730.79713499999957</v>
      </c>
      <c r="N26"/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/>
      <c r="O27" s="2"/>
    </row>
    <row r="28" spans="1:15" ht="12.75" customHeight="1" thickBo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37"/>
    </row>
    <row r="29" spans="1:15" s="10" customFormat="1" ht="25.5" customHeight="1" thickBot="1" x14ac:dyDescent="0.2">
      <c r="A29" s="51" t="s">
        <v>65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3"/>
    </row>
    <row r="30" spans="1:15" ht="24" customHeight="1" thickBot="1" x14ac:dyDescent="0.25">
      <c r="A30" s="41" t="s">
        <v>1</v>
      </c>
      <c r="B30" s="54" t="s">
        <v>2</v>
      </c>
      <c r="C30" s="56" t="s">
        <v>3</v>
      </c>
      <c r="D30" s="57"/>
      <c r="E30" s="58"/>
      <c r="F30" s="56" t="s">
        <v>4</v>
      </c>
      <c r="G30" s="57"/>
      <c r="H30" s="58"/>
      <c r="I30" s="39" t="s">
        <v>5</v>
      </c>
      <c r="J30" s="39" t="s">
        <v>6</v>
      </c>
      <c r="K30" s="39" t="s">
        <v>7</v>
      </c>
      <c r="L30" s="39" t="s">
        <v>8</v>
      </c>
      <c r="M30" s="39" t="s">
        <v>9</v>
      </c>
      <c r="N30" s="39" t="s">
        <v>10</v>
      </c>
      <c r="O30" s="41" t="s">
        <v>11</v>
      </c>
    </row>
    <row r="31" spans="1:15" ht="24" customHeight="1" thickBot="1" x14ac:dyDescent="0.25">
      <c r="A31" s="42"/>
      <c r="B31" s="55"/>
      <c r="C31" s="12" t="s">
        <v>12</v>
      </c>
      <c r="D31" s="11" t="s">
        <v>13</v>
      </c>
      <c r="E31" s="13" t="s">
        <v>14</v>
      </c>
      <c r="F31" s="13" t="s">
        <v>12</v>
      </c>
      <c r="G31" s="13" t="s">
        <v>13</v>
      </c>
      <c r="H31" s="13" t="s">
        <v>14</v>
      </c>
      <c r="I31" s="40"/>
      <c r="J31" s="40"/>
      <c r="K31" s="40"/>
      <c r="L31" s="40"/>
      <c r="M31" s="40"/>
      <c r="N31" s="40"/>
      <c r="O31" s="42"/>
    </row>
    <row r="32" spans="1:15" ht="65" customHeight="1" x14ac:dyDescent="0.2">
      <c r="A32" s="123">
        <v>1</v>
      </c>
      <c r="B32" s="124" t="s">
        <v>39</v>
      </c>
      <c r="C32" s="125">
        <v>1</v>
      </c>
      <c r="D32" s="126">
        <v>379.99</v>
      </c>
      <c r="E32" s="126">
        <f t="shared" ref="E32:E40" si="14">C32*D32</f>
        <v>379.99</v>
      </c>
      <c r="F32" s="125">
        <v>1</v>
      </c>
      <c r="G32" s="126">
        <v>379.99</v>
      </c>
      <c r="H32" s="126">
        <f>F32*G32</f>
        <v>379.99</v>
      </c>
      <c r="I32" s="127">
        <v>0</v>
      </c>
      <c r="J32" s="127">
        <v>20</v>
      </c>
      <c r="K32" s="126">
        <f>H32*(1-L32)</f>
        <v>379.99</v>
      </c>
      <c r="L32" s="128">
        <f>IF((I32/J32)&gt;=0.75,0.75,IF((I32/J32)&gt;=0,(I32/J32),IF((I32/J32)&lt;=0.1,0)))</f>
        <v>0</v>
      </c>
      <c r="M32" s="126">
        <f>H32-K32</f>
        <v>0</v>
      </c>
      <c r="N32" s="129" t="s">
        <v>80</v>
      </c>
      <c r="O32" s="130" t="s">
        <v>39</v>
      </c>
    </row>
    <row r="33" spans="1:15" ht="65" customHeight="1" x14ac:dyDescent="0.2">
      <c r="A33" s="131">
        <v>2</v>
      </c>
      <c r="B33" s="117" t="s">
        <v>40</v>
      </c>
      <c r="C33" s="116">
        <v>1</v>
      </c>
      <c r="D33" s="118">
        <v>249.99</v>
      </c>
      <c r="E33" s="118">
        <f t="shared" si="14"/>
        <v>249.99</v>
      </c>
      <c r="F33" s="119">
        <v>1</v>
      </c>
      <c r="G33" s="118">
        <v>249.99</v>
      </c>
      <c r="H33" s="118">
        <f t="shared" ref="H33:H40" si="15">F33*G33</f>
        <v>249.99</v>
      </c>
      <c r="I33" s="119">
        <v>0</v>
      </c>
      <c r="J33" s="142">
        <v>20</v>
      </c>
      <c r="K33" s="118">
        <f t="shared" ref="K33:K40" si="16">H33*(1-L33)</f>
        <v>249.99</v>
      </c>
      <c r="L33" s="120">
        <f t="shared" ref="L33:L40" si="17">IF((I33/J33)&gt;=0.75,0.75,IF((I33/J33)&gt;=0,(I33/J33),IF((I33/J33)&lt;=0.1,0)))</f>
        <v>0</v>
      </c>
      <c r="M33" s="118">
        <f t="shared" ref="M33:M40" si="18">H33-K33</f>
        <v>0</v>
      </c>
      <c r="N33" s="121" t="s">
        <v>80</v>
      </c>
      <c r="O33" s="132" t="s">
        <v>81</v>
      </c>
    </row>
    <row r="34" spans="1:15" ht="65" customHeight="1" x14ac:dyDescent="0.2">
      <c r="A34" s="131">
        <v>3</v>
      </c>
      <c r="B34" s="117" t="s">
        <v>41</v>
      </c>
      <c r="C34" s="116">
        <v>1</v>
      </c>
      <c r="D34" s="118">
        <v>189.99</v>
      </c>
      <c r="E34" s="118">
        <f t="shared" si="14"/>
        <v>189.99</v>
      </c>
      <c r="F34" s="116">
        <v>1</v>
      </c>
      <c r="G34" s="118">
        <v>189.99</v>
      </c>
      <c r="H34" s="118">
        <f t="shared" si="15"/>
        <v>189.99</v>
      </c>
      <c r="I34" s="119">
        <v>0</v>
      </c>
      <c r="J34" s="142">
        <v>20</v>
      </c>
      <c r="K34" s="118">
        <f t="shared" si="16"/>
        <v>189.99</v>
      </c>
      <c r="L34" s="120">
        <f t="shared" si="17"/>
        <v>0</v>
      </c>
      <c r="M34" s="118">
        <f t="shared" si="18"/>
        <v>0</v>
      </c>
      <c r="N34" s="121" t="s">
        <v>80</v>
      </c>
      <c r="O34" s="133" t="s">
        <v>41</v>
      </c>
    </row>
    <row r="35" spans="1:15" ht="65" customHeight="1" x14ac:dyDescent="0.2">
      <c r="A35" s="131">
        <v>4</v>
      </c>
      <c r="B35" s="117" t="s">
        <v>42</v>
      </c>
      <c r="C35" s="116">
        <v>1</v>
      </c>
      <c r="D35" s="118">
        <v>200</v>
      </c>
      <c r="E35" s="118">
        <f t="shared" si="14"/>
        <v>200</v>
      </c>
      <c r="F35" s="119">
        <v>1</v>
      </c>
      <c r="G35" s="118">
        <v>200</v>
      </c>
      <c r="H35" s="118">
        <f t="shared" si="15"/>
        <v>200</v>
      </c>
      <c r="I35" s="119">
        <v>0</v>
      </c>
      <c r="J35" s="142">
        <v>20</v>
      </c>
      <c r="K35" s="118">
        <f t="shared" si="16"/>
        <v>200</v>
      </c>
      <c r="L35" s="120">
        <f t="shared" si="17"/>
        <v>0</v>
      </c>
      <c r="M35" s="118">
        <f t="shared" si="18"/>
        <v>0</v>
      </c>
      <c r="N35" s="121" t="s">
        <v>80</v>
      </c>
      <c r="O35" s="133" t="s">
        <v>42</v>
      </c>
    </row>
    <row r="36" spans="1:15" ht="65" customHeight="1" x14ac:dyDescent="0.2">
      <c r="A36" s="131">
        <v>5</v>
      </c>
      <c r="B36" s="117" t="s">
        <v>43</v>
      </c>
      <c r="C36" s="116">
        <v>2</v>
      </c>
      <c r="D36" s="118">
        <v>169.99</v>
      </c>
      <c r="E36" s="118">
        <f t="shared" si="14"/>
        <v>339.98</v>
      </c>
      <c r="F36" s="116">
        <v>2</v>
      </c>
      <c r="G36" s="118">
        <v>169.99</v>
      </c>
      <c r="H36" s="118">
        <f t="shared" si="15"/>
        <v>339.98</v>
      </c>
      <c r="I36" s="119">
        <v>0</v>
      </c>
      <c r="J36" s="142">
        <v>20</v>
      </c>
      <c r="K36" s="118">
        <f t="shared" si="16"/>
        <v>339.98</v>
      </c>
      <c r="L36" s="120">
        <f t="shared" si="17"/>
        <v>0</v>
      </c>
      <c r="M36" s="118">
        <f t="shared" si="18"/>
        <v>0</v>
      </c>
      <c r="N36" s="121" t="s">
        <v>80</v>
      </c>
      <c r="O36" s="133" t="s">
        <v>43</v>
      </c>
    </row>
    <row r="37" spans="1:15" ht="65" customHeight="1" x14ac:dyDescent="0.2">
      <c r="A37" s="131">
        <v>6</v>
      </c>
      <c r="B37" s="117" t="s">
        <v>44</v>
      </c>
      <c r="C37" s="116">
        <v>1</v>
      </c>
      <c r="D37" s="118">
        <v>27.78</v>
      </c>
      <c r="E37" s="118">
        <f t="shared" si="14"/>
        <v>27.78</v>
      </c>
      <c r="F37" s="116">
        <v>1</v>
      </c>
      <c r="G37" s="118">
        <v>27.78</v>
      </c>
      <c r="H37" s="118">
        <f t="shared" si="15"/>
        <v>27.78</v>
      </c>
      <c r="I37" s="119">
        <v>0</v>
      </c>
      <c r="J37" s="142">
        <v>20</v>
      </c>
      <c r="K37" s="118">
        <f t="shared" si="16"/>
        <v>27.78</v>
      </c>
      <c r="L37" s="120">
        <f t="shared" si="17"/>
        <v>0</v>
      </c>
      <c r="M37" s="118">
        <f t="shared" si="18"/>
        <v>0</v>
      </c>
      <c r="N37" s="121" t="s">
        <v>80</v>
      </c>
      <c r="O37" s="133" t="s">
        <v>44</v>
      </c>
    </row>
    <row r="38" spans="1:15" ht="65" customHeight="1" x14ac:dyDescent="0.2">
      <c r="A38" s="131">
        <v>7</v>
      </c>
      <c r="B38" s="117" t="s">
        <v>45</v>
      </c>
      <c r="C38" s="116">
        <v>3</v>
      </c>
      <c r="D38" s="118">
        <v>20</v>
      </c>
      <c r="E38" s="118">
        <f t="shared" si="14"/>
        <v>60</v>
      </c>
      <c r="F38" s="116">
        <v>3</v>
      </c>
      <c r="G38" s="118">
        <v>20</v>
      </c>
      <c r="H38" s="118">
        <f t="shared" si="15"/>
        <v>60</v>
      </c>
      <c r="I38" s="119">
        <v>0</v>
      </c>
      <c r="J38" s="142">
        <v>20</v>
      </c>
      <c r="K38" s="118">
        <f t="shared" si="16"/>
        <v>60</v>
      </c>
      <c r="L38" s="120">
        <f t="shared" si="17"/>
        <v>0</v>
      </c>
      <c r="M38" s="118">
        <f t="shared" si="18"/>
        <v>0</v>
      </c>
      <c r="N38" s="121" t="s">
        <v>80</v>
      </c>
      <c r="O38" s="133" t="s">
        <v>45</v>
      </c>
    </row>
    <row r="39" spans="1:15" ht="65" customHeight="1" x14ac:dyDescent="0.2">
      <c r="A39" s="131">
        <v>8</v>
      </c>
      <c r="B39" s="117" t="s">
        <v>46</v>
      </c>
      <c r="C39" s="116">
        <v>3</v>
      </c>
      <c r="D39" s="118">
        <v>20</v>
      </c>
      <c r="E39" s="118">
        <f t="shared" si="14"/>
        <v>60</v>
      </c>
      <c r="F39" s="116">
        <v>3</v>
      </c>
      <c r="G39" s="118">
        <v>20</v>
      </c>
      <c r="H39" s="118">
        <f t="shared" si="15"/>
        <v>60</v>
      </c>
      <c r="I39" s="119">
        <v>0</v>
      </c>
      <c r="J39" s="142">
        <v>20</v>
      </c>
      <c r="K39" s="118">
        <f t="shared" si="16"/>
        <v>60</v>
      </c>
      <c r="L39" s="120">
        <f t="shared" si="17"/>
        <v>0</v>
      </c>
      <c r="M39" s="118">
        <f t="shared" si="18"/>
        <v>0</v>
      </c>
      <c r="N39" s="121" t="s">
        <v>80</v>
      </c>
      <c r="O39" s="133" t="s">
        <v>46</v>
      </c>
    </row>
    <row r="40" spans="1:15" ht="65" customHeight="1" x14ac:dyDescent="0.2">
      <c r="A40" s="131">
        <v>9</v>
      </c>
      <c r="B40" s="117" t="s">
        <v>47</v>
      </c>
      <c r="C40" s="116">
        <v>1</v>
      </c>
      <c r="D40" s="118">
        <v>30</v>
      </c>
      <c r="E40" s="118">
        <f t="shared" si="14"/>
        <v>30</v>
      </c>
      <c r="F40" s="116">
        <v>1</v>
      </c>
      <c r="G40" s="118">
        <v>30</v>
      </c>
      <c r="H40" s="118">
        <f t="shared" si="15"/>
        <v>30</v>
      </c>
      <c r="I40" s="119">
        <v>0</v>
      </c>
      <c r="J40" s="142">
        <v>20</v>
      </c>
      <c r="K40" s="118">
        <f t="shared" si="16"/>
        <v>30</v>
      </c>
      <c r="L40" s="120">
        <f t="shared" si="17"/>
        <v>0</v>
      </c>
      <c r="M40" s="118">
        <f t="shared" si="18"/>
        <v>0</v>
      </c>
      <c r="N40" s="121" t="s">
        <v>80</v>
      </c>
      <c r="O40" s="133" t="s">
        <v>47</v>
      </c>
    </row>
    <row r="41" spans="1:15" ht="65" customHeight="1" x14ac:dyDescent="0.2">
      <c r="A41" s="131">
        <v>10</v>
      </c>
      <c r="B41" s="117" t="s">
        <v>48</v>
      </c>
      <c r="C41" s="116">
        <v>1</v>
      </c>
      <c r="D41" s="118">
        <v>20</v>
      </c>
      <c r="E41" s="118">
        <f t="shared" ref="E41:E57" si="19">C41*D41</f>
        <v>20</v>
      </c>
      <c r="F41" s="116">
        <v>1</v>
      </c>
      <c r="G41" s="118">
        <v>20</v>
      </c>
      <c r="H41" s="118">
        <f t="shared" ref="H41:H57" si="20">F41*G41</f>
        <v>20</v>
      </c>
      <c r="I41" s="119">
        <v>0</v>
      </c>
      <c r="J41" s="142">
        <v>20</v>
      </c>
      <c r="K41" s="118">
        <f t="shared" ref="K41:K57" si="21">H41*(1-L41)</f>
        <v>20</v>
      </c>
      <c r="L41" s="120">
        <f t="shared" ref="L41:L57" si="22">IF((I41/J41)&gt;=0.75,0.75,IF((I41/J41)&gt;=0,(I41/J41),IF((I41/J41)&lt;=0.1,0)))</f>
        <v>0</v>
      </c>
      <c r="M41" s="118">
        <f t="shared" ref="M41:M57" si="23">H41-K41</f>
        <v>0</v>
      </c>
      <c r="N41" s="121" t="s">
        <v>80</v>
      </c>
      <c r="O41" s="133" t="s">
        <v>48</v>
      </c>
    </row>
    <row r="42" spans="1:15" ht="65" customHeight="1" x14ac:dyDescent="0.2">
      <c r="A42" s="131">
        <v>11</v>
      </c>
      <c r="B42" s="117" t="s">
        <v>49</v>
      </c>
      <c r="C42" s="116">
        <v>1</v>
      </c>
      <c r="D42" s="118">
        <v>15</v>
      </c>
      <c r="E42" s="118">
        <f t="shared" si="19"/>
        <v>15</v>
      </c>
      <c r="F42" s="116">
        <v>1</v>
      </c>
      <c r="G42" s="118">
        <v>15</v>
      </c>
      <c r="H42" s="118">
        <f t="shared" si="20"/>
        <v>15</v>
      </c>
      <c r="I42" s="119">
        <v>0</v>
      </c>
      <c r="J42" s="142">
        <v>20</v>
      </c>
      <c r="K42" s="118">
        <f t="shared" si="21"/>
        <v>15</v>
      </c>
      <c r="L42" s="120">
        <f t="shared" si="22"/>
        <v>0</v>
      </c>
      <c r="M42" s="118">
        <f t="shared" si="23"/>
        <v>0</v>
      </c>
      <c r="N42" s="121" t="s">
        <v>80</v>
      </c>
      <c r="O42" s="133" t="s">
        <v>49</v>
      </c>
    </row>
    <row r="43" spans="1:15" ht="65" customHeight="1" x14ac:dyDescent="0.2">
      <c r="A43" s="131">
        <v>12</v>
      </c>
      <c r="B43" s="117" t="s">
        <v>50</v>
      </c>
      <c r="C43" s="116">
        <v>1</v>
      </c>
      <c r="D43" s="118">
        <v>18</v>
      </c>
      <c r="E43" s="118">
        <f t="shared" si="19"/>
        <v>18</v>
      </c>
      <c r="F43" s="116">
        <v>1</v>
      </c>
      <c r="G43" s="118">
        <v>18</v>
      </c>
      <c r="H43" s="118">
        <f t="shared" si="20"/>
        <v>18</v>
      </c>
      <c r="I43" s="119">
        <v>0</v>
      </c>
      <c r="J43" s="142">
        <v>20</v>
      </c>
      <c r="K43" s="118">
        <f t="shared" si="21"/>
        <v>18</v>
      </c>
      <c r="L43" s="120">
        <f t="shared" si="22"/>
        <v>0</v>
      </c>
      <c r="M43" s="118">
        <f t="shared" si="23"/>
        <v>0</v>
      </c>
      <c r="N43" s="121" t="s">
        <v>80</v>
      </c>
      <c r="O43" s="133" t="s">
        <v>50</v>
      </c>
    </row>
    <row r="44" spans="1:15" ht="65" customHeight="1" x14ac:dyDescent="0.2">
      <c r="A44" s="131">
        <v>13</v>
      </c>
      <c r="B44" s="117" t="s">
        <v>51</v>
      </c>
      <c r="C44" s="116">
        <v>1</v>
      </c>
      <c r="D44" s="118">
        <v>25.09</v>
      </c>
      <c r="E44" s="118">
        <f t="shared" si="19"/>
        <v>25.09</v>
      </c>
      <c r="F44" s="116">
        <v>1</v>
      </c>
      <c r="G44" s="118">
        <v>25.09</v>
      </c>
      <c r="H44" s="118">
        <f t="shared" si="20"/>
        <v>25.09</v>
      </c>
      <c r="I44" s="119">
        <v>0</v>
      </c>
      <c r="J44" s="142">
        <v>20</v>
      </c>
      <c r="K44" s="118">
        <f t="shared" si="21"/>
        <v>25.09</v>
      </c>
      <c r="L44" s="120">
        <f t="shared" si="22"/>
        <v>0</v>
      </c>
      <c r="M44" s="118">
        <f t="shared" si="23"/>
        <v>0</v>
      </c>
      <c r="N44" s="121" t="s">
        <v>80</v>
      </c>
      <c r="O44" s="133" t="s">
        <v>51</v>
      </c>
    </row>
    <row r="45" spans="1:15" ht="65" customHeight="1" x14ac:dyDescent="0.2">
      <c r="A45" s="131">
        <v>14</v>
      </c>
      <c r="B45" s="117" t="s">
        <v>52</v>
      </c>
      <c r="C45" s="116">
        <v>1</v>
      </c>
      <c r="D45" s="118">
        <v>30</v>
      </c>
      <c r="E45" s="118">
        <f t="shared" si="19"/>
        <v>30</v>
      </c>
      <c r="F45" s="116">
        <v>1</v>
      </c>
      <c r="G45" s="118">
        <v>30</v>
      </c>
      <c r="H45" s="118">
        <f t="shared" si="20"/>
        <v>30</v>
      </c>
      <c r="I45" s="119">
        <v>0</v>
      </c>
      <c r="J45" s="142">
        <v>20</v>
      </c>
      <c r="K45" s="118">
        <f t="shared" si="21"/>
        <v>30</v>
      </c>
      <c r="L45" s="120">
        <f t="shared" si="22"/>
        <v>0</v>
      </c>
      <c r="M45" s="118">
        <f t="shared" si="23"/>
        <v>0</v>
      </c>
      <c r="N45" s="121" t="s">
        <v>80</v>
      </c>
      <c r="O45" s="133" t="s">
        <v>52</v>
      </c>
    </row>
    <row r="46" spans="1:15" ht="65" customHeight="1" x14ac:dyDescent="0.2">
      <c r="A46" s="131">
        <v>15</v>
      </c>
      <c r="B46" s="117" t="s">
        <v>53</v>
      </c>
      <c r="C46" s="116">
        <v>1</v>
      </c>
      <c r="D46" s="118">
        <v>178.99</v>
      </c>
      <c r="E46" s="118">
        <f t="shared" si="19"/>
        <v>178.99</v>
      </c>
      <c r="F46" s="116">
        <v>1</v>
      </c>
      <c r="G46" s="118">
        <v>178.99</v>
      </c>
      <c r="H46" s="118">
        <f t="shared" si="20"/>
        <v>178.99</v>
      </c>
      <c r="I46" s="119">
        <v>0</v>
      </c>
      <c r="J46" s="142">
        <v>20</v>
      </c>
      <c r="K46" s="118">
        <f t="shared" si="21"/>
        <v>178.99</v>
      </c>
      <c r="L46" s="120">
        <f t="shared" si="22"/>
        <v>0</v>
      </c>
      <c r="M46" s="118">
        <f t="shared" si="23"/>
        <v>0</v>
      </c>
      <c r="N46" s="121" t="s">
        <v>80</v>
      </c>
      <c r="O46" s="133" t="s">
        <v>53</v>
      </c>
    </row>
    <row r="47" spans="1:15" ht="65" customHeight="1" x14ac:dyDescent="0.2">
      <c r="A47" s="131">
        <v>16</v>
      </c>
      <c r="B47" s="117" t="s">
        <v>54</v>
      </c>
      <c r="C47" s="116">
        <v>1</v>
      </c>
      <c r="D47" s="118">
        <v>20</v>
      </c>
      <c r="E47" s="118">
        <f t="shared" si="19"/>
        <v>20</v>
      </c>
      <c r="F47" s="116">
        <v>1</v>
      </c>
      <c r="G47" s="118">
        <v>20</v>
      </c>
      <c r="H47" s="118">
        <f t="shared" si="20"/>
        <v>20</v>
      </c>
      <c r="I47" s="119">
        <v>0</v>
      </c>
      <c r="J47" s="142">
        <v>20</v>
      </c>
      <c r="K47" s="118">
        <f t="shared" si="21"/>
        <v>20</v>
      </c>
      <c r="L47" s="120">
        <f t="shared" si="22"/>
        <v>0</v>
      </c>
      <c r="M47" s="118">
        <f t="shared" si="23"/>
        <v>0</v>
      </c>
      <c r="N47" s="121" t="s">
        <v>80</v>
      </c>
      <c r="O47" s="133" t="s">
        <v>54</v>
      </c>
    </row>
    <row r="48" spans="1:15" ht="65" customHeight="1" x14ac:dyDescent="0.2">
      <c r="A48" s="131">
        <v>17</v>
      </c>
      <c r="B48" s="117" t="s">
        <v>55</v>
      </c>
      <c r="C48" s="116">
        <v>1</v>
      </c>
      <c r="D48" s="118">
        <v>15</v>
      </c>
      <c r="E48" s="118">
        <f t="shared" ref="E48:E53" si="24">C48*D48</f>
        <v>15</v>
      </c>
      <c r="F48" s="116">
        <v>1</v>
      </c>
      <c r="G48" s="118">
        <v>15</v>
      </c>
      <c r="H48" s="118">
        <f t="shared" ref="H48:H53" si="25">F48*G48</f>
        <v>15</v>
      </c>
      <c r="I48" s="119">
        <v>0</v>
      </c>
      <c r="J48" s="142">
        <v>20</v>
      </c>
      <c r="K48" s="118">
        <f t="shared" ref="K48:K53" si="26">H48*(1-L48)</f>
        <v>15</v>
      </c>
      <c r="L48" s="120">
        <f t="shared" ref="L48:L53" si="27">IF((I48/J48)&gt;=0.75,0.75,IF((I48/J48)&gt;=0,(I48/J48),IF((I48/J48)&lt;=0.1,0)))</f>
        <v>0</v>
      </c>
      <c r="M48" s="118">
        <f t="shared" ref="M48:M53" si="28">H48-K48</f>
        <v>0</v>
      </c>
      <c r="N48" s="121" t="s">
        <v>80</v>
      </c>
      <c r="O48" s="133" t="s">
        <v>55</v>
      </c>
    </row>
    <row r="49" spans="1:15" ht="65" customHeight="1" x14ac:dyDescent="0.2">
      <c r="A49" s="131">
        <v>18</v>
      </c>
      <c r="B49" s="117" t="s">
        <v>56</v>
      </c>
      <c r="C49" s="116">
        <v>1</v>
      </c>
      <c r="D49" s="118">
        <v>20</v>
      </c>
      <c r="E49" s="118">
        <f t="shared" si="24"/>
        <v>20</v>
      </c>
      <c r="F49" s="116">
        <v>1</v>
      </c>
      <c r="G49" s="118">
        <v>20</v>
      </c>
      <c r="H49" s="118">
        <f t="shared" si="25"/>
        <v>20</v>
      </c>
      <c r="I49" s="119">
        <v>0</v>
      </c>
      <c r="J49" s="142">
        <v>20</v>
      </c>
      <c r="K49" s="118">
        <f t="shared" si="26"/>
        <v>20</v>
      </c>
      <c r="L49" s="120">
        <f t="shared" si="27"/>
        <v>0</v>
      </c>
      <c r="M49" s="118">
        <f t="shared" si="28"/>
        <v>0</v>
      </c>
      <c r="N49" s="121" t="s">
        <v>80</v>
      </c>
      <c r="O49" s="133" t="s">
        <v>56</v>
      </c>
    </row>
    <row r="50" spans="1:15" ht="65" customHeight="1" x14ac:dyDescent="0.2">
      <c r="A50" s="131">
        <v>19</v>
      </c>
      <c r="B50" s="117" t="s">
        <v>57</v>
      </c>
      <c r="C50" s="116">
        <v>1</v>
      </c>
      <c r="D50" s="118">
        <v>39.99</v>
      </c>
      <c r="E50" s="118">
        <f t="shared" si="24"/>
        <v>39.99</v>
      </c>
      <c r="F50" s="116">
        <v>1</v>
      </c>
      <c r="G50" s="118">
        <v>39.99</v>
      </c>
      <c r="H50" s="118">
        <f t="shared" si="25"/>
        <v>39.99</v>
      </c>
      <c r="I50" s="119">
        <v>0</v>
      </c>
      <c r="J50" s="142">
        <v>20</v>
      </c>
      <c r="K50" s="118">
        <f t="shared" si="26"/>
        <v>39.99</v>
      </c>
      <c r="L50" s="120">
        <f t="shared" si="27"/>
        <v>0</v>
      </c>
      <c r="M50" s="118">
        <f t="shared" si="28"/>
        <v>0</v>
      </c>
      <c r="N50" s="121" t="s">
        <v>80</v>
      </c>
      <c r="O50" s="133" t="s">
        <v>57</v>
      </c>
    </row>
    <row r="51" spans="1:15" ht="65" customHeight="1" x14ac:dyDescent="0.2">
      <c r="A51" s="131">
        <v>20</v>
      </c>
      <c r="B51" s="117" t="s">
        <v>58</v>
      </c>
      <c r="C51" s="116">
        <v>1</v>
      </c>
      <c r="D51" s="118">
        <v>20</v>
      </c>
      <c r="E51" s="118">
        <f t="shared" si="24"/>
        <v>20</v>
      </c>
      <c r="F51" s="116">
        <v>1</v>
      </c>
      <c r="G51" s="118">
        <v>20</v>
      </c>
      <c r="H51" s="118">
        <f t="shared" si="25"/>
        <v>20</v>
      </c>
      <c r="I51" s="119">
        <v>0</v>
      </c>
      <c r="J51" s="142">
        <v>20</v>
      </c>
      <c r="K51" s="118">
        <f t="shared" si="26"/>
        <v>20</v>
      </c>
      <c r="L51" s="120">
        <f t="shared" si="27"/>
        <v>0</v>
      </c>
      <c r="M51" s="118">
        <f t="shared" si="28"/>
        <v>0</v>
      </c>
      <c r="N51" s="121" t="s">
        <v>80</v>
      </c>
      <c r="O51" s="133" t="s">
        <v>58</v>
      </c>
    </row>
    <row r="52" spans="1:15" ht="65" customHeight="1" x14ac:dyDescent="0.2">
      <c r="A52" s="131">
        <v>21</v>
      </c>
      <c r="B52" s="117" t="s">
        <v>59</v>
      </c>
      <c r="C52" s="116">
        <v>1</v>
      </c>
      <c r="D52" s="118">
        <v>20</v>
      </c>
      <c r="E52" s="118">
        <f t="shared" si="24"/>
        <v>20</v>
      </c>
      <c r="F52" s="116">
        <v>1</v>
      </c>
      <c r="G52" s="118">
        <v>20</v>
      </c>
      <c r="H52" s="118">
        <f t="shared" si="25"/>
        <v>20</v>
      </c>
      <c r="I52" s="119">
        <v>0</v>
      </c>
      <c r="J52" s="142">
        <v>20</v>
      </c>
      <c r="K52" s="118">
        <f t="shared" si="26"/>
        <v>20</v>
      </c>
      <c r="L52" s="120">
        <f t="shared" si="27"/>
        <v>0</v>
      </c>
      <c r="M52" s="118">
        <f t="shared" si="28"/>
        <v>0</v>
      </c>
      <c r="N52" s="121" t="s">
        <v>80</v>
      </c>
      <c r="O52" s="133" t="s">
        <v>59</v>
      </c>
    </row>
    <row r="53" spans="1:15" ht="65" customHeight="1" x14ac:dyDescent="0.2">
      <c r="A53" s="131">
        <v>22</v>
      </c>
      <c r="B53" s="117" t="s">
        <v>60</v>
      </c>
      <c r="C53" s="116">
        <v>1</v>
      </c>
      <c r="D53" s="118">
        <v>21.79</v>
      </c>
      <c r="E53" s="118">
        <f t="shared" si="24"/>
        <v>21.79</v>
      </c>
      <c r="F53" s="116">
        <v>1</v>
      </c>
      <c r="G53" s="118">
        <v>21.79</v>
      </c>
      <c r="H53" s="118">
        <f t="shared" si="25"/>
        <v>21.79</v>
      </c>
      <c r="I53" s="119">
        <v>0</v>
      </c>
      <c r="J53" s="142">
        <v>20</v>
      </c>
      <c r="K53" s="118">
        <f t="shared" si="26"/>
        <v>21.79</v>
      </c>
      <c r="L53" s="120">
        <f t="shared" si="27"/>
        <v>0</v>
      </c>
      <c r="M53" s="118">
        <f t="shared" si="28"/>
        <v>0</v>
      </c>
      <c r="N53" s="121" t="s">
        <v>80</v>
      </c>
      <c r="O53" s="133" t="s">
        <v>60</v>
      </c>
    </row>
    <row r="54" spans="1:15" ht="65" customHeight="1" x14ac:dyDescent="0.2">
      <c r="A54" s="131">
        <v>23</v>
      </c>
      <c r="B54" s="117" t="s">
        <v>61</v>
      </c>
      <c r="C54" s="116">
        <v>1</v>
      </c>
      <c r="D54" s="118">
        <v>15</v>
      </c>
      <c r="E54" s="118">
        <f t="shared" si="19"/>
        <v>15</v>
      </c>
      <c r="F54" s="116">
        <v>1</v>
      </c>
      <c r="G54" s="118">
        <v>15</v>
      </c>
      <c r="H54" s="118">
        <f t="shared" si="20"/>
        <v>15</v>
      </c>
      <c r="I54" s="119">
        <v>0</v>
      </c>
      <c r="J54" s="142">
        <v>20</v>
      </c>
      <c r="K54" s="118">
        <f t="shared" si="21"/>
        <v>15</v>
      </c>
      <c r="L54" s="120">
        <f t="shared" si="22"/>
        <v>0</v>
      </c>
      <c r="M54" s="118">
        <f t="shared" si="23"/>
        <v>0</v>
      </c>
      <c r="N54" s="121" t="s">
        <v>80</v>
      </c>
      <c r="O54" s="133" t="s">
        <v>61</v>
      </c>
    </row>
    <row r="55" spans="1:15" ht="65" customHeight="1" x14ac:dyDescent="0.2">
      <c r="A55" s="131">
        <v>24</v>
      </c>
      <c r="B55" s="117" t="s">
        <v>62</v>
      </c>
      <c r="C55" s="116">
        <v>1</v>
      </c>
      <c r="D55" s="118">
        <v>30</v>
      </c>
      <c r="E55" s="118">
        <f t="shared" si="19"/>
        <v>30</v>
      </c>
      <c r="F55" s="116">
        <v>1</v>
      </c>
      <c r="G55" s="118">
        <v>30</v>
      </c>
      <c r="H55" s="118">
        <f t="shared" si="20"/>
        <v>30</v>
      </c>
      <c r="I55" s="119">
        <v>0</v>
      </c>
      <c r="J55" s="142">
        <v>20</v>
      </c>
      <c r="K55" s="118">
        <f t="shared" si="21"/>
        <v>30</v>
      </c>
      <c r="L55" s="120">
        <f t="shared" si="22"/>
        <v>0</v>
      </c>
      <c r="M55" s="118">
        <f t="shared" si="23"/>
        <v>0</v>
      </c>
      <c r="N55" s="121" t="s">
        <v>80</v>
      </c>
      <c r="O55" s="133" t="s">
        <v>62</v>
      </c>
    </row>
    <row r="56" spans="1:15" ht="65" customHeight="1" x14ac:dyDescent="0.2">
      <c r="A56" s="131">
        <v>25</v>
      </c>
      <c r="B56" s="117" t="s">
        <v>63</v>
      </c>
      <c r="C56" s="116">
        <v>1</v>
      </c>
      <c r="D56" s="118">
        <v>20</v>
      </c>
      <c r="E56" s="118">
        <f t="shared" si="19"/>
        <v>20</v>
      </c>
      <c r="F56" s="116">
        <v>1</v>
      </c>
      <c r="G56" s="118">
        <v>20</v>
      </c>
      <c r="H56" s="118">
        <f t="shared" si="20"/>
        <v>20</v>
      </c>
      <c r="I56" s="119">
        <v>0</v>
      </c>
      <c r="J56" s="142">
        <v>20</v>
      </c>
      <c r="K56" s="118">
        <f t="shared" si="21"/>
        <v>20</v>
      </c>
      <c r="L56" s="120">
        <f t="shared" si="22"/>
        <v>0</v>
      </c>
      <c r="M56" s="118">
        <f t="shared" si="23"/>
        <v>0</v>
      </c>
      <c r="N56" s="121" t="s">
        <v>80</v>
      </c>
      <c r="O56" s="133" t="s">
        <v>63</v>
      </c>
    </row>
    <row r="57" spans="1:15" ht="65" customHeight="1" thickBot="1" x14ac:dyDescent="0.25">
      <c r="A57" s="134">
        <v>26</v>
      </c>
      <c r="B57" s="135" t="s">
        <v>64</v>
      </c>
      <c r="C57" s="136">
        <v>1</v>
      </c>
      <c r="D57" s="137">
        <v>69.989999999999995</v>
      </c>
      <c r="E57" s="137">
        <f t="shared" si="19"/>
        <v>69.989999999999995</v>
      </c>
      <c r="F57" s="136">
        <v>1</v>
      </c>
      <c r="G57" s="137">
        <v>69.989999999999995</v>
      </c>
      <c r="H57" s="137">
        <f t="shared" si="20"/>
        <v>69.989999999999995</v>
      </c>
      <c r="I57" s="138">
        <v>0</v>
      </c>
      <c r="J57" s="142">
        <v>20</v>
      </c>
      <c r="K57" s="137">
        <f t="shared" si="21"/>
        <v>69.989999999999995</v>
      </c>
      <c r="L57" s="139">
        <f t="shared" si="22"/>
        <v>0</v>
      </c>
      <c r="M57" s="137">
        <f t="shared" si="23"/>
        <v>0</v>
      </c>
      <c r="N57" s="140" t="s">
        <v>80</v>
      </c>
      <c r="O57" s="141" t="s">
        <v>64</v>
      </c>
    </row>
    <row r="58" spans="1:15" s="5" customFormat="1" ht="18" customHeight="1" thickBot="1" x14ac:dyDescent="0.25">
      <c r="A58" s="77" t="s">
        <v>15</v>
      </c>
      <c r="B58" s="78"/>
      <c r="C58" s="78"/>
      <c r="D58" s="79"/>
      <c r="E58" s="24">
        <f>SUM(E32:E57)</f>
        <v>2116.58</v>
      </c>
      <c r="F58" s="25"/>
      <c r="G58" s="26"/>
      <c r="H58" s="27">
        <f>SUM(H32:H57)</f>
        <v>2116.58</v>
      </c>
      <c r="I58" s="80"/>
      <c r="J58" s="81"/>
      <c r="K58" s="28">
        <f>SUM(K32:K57)</f>
        <v>2116.58</v>
      </c>
      <c r="L58" s="28"/>
      <c r="M58" s="28">
        <f>SUM(M32:M57)</f>
        <v>0</v>
      </c>
      <c r="N58"/>
    </row>
    <row r="59" spans="1:15" s="5" customFormat="1" ht="18" customHeight="1" thickBot="1" x14ac:dyDescent="0.25">
      <c r="A59" s="69" t="s">
        <v>79</v>
      </c>
      <c r="B59" s="70"/>
      <c r="C59" s="70"/>
      <c r="D59" s="71"/>
      <c r="E59" s="29">
        <f>E58*0.0775</f>
        <v>164.03494999999998</v>
      </c>
      <c r="F59" s="30"/>
      <c r="G59" s="31"/>
      <c r="H59" s="29">
        <f>H58*0.0775</f>
        <v>164.03494999999998</v>
      </c>
      <c r="I59" s="84"/>
      <c r="J59" s="85"/>
      <c r="K59" s="29">
        <f>K58*0.0775</f>
        <v>164.03494999999998</v>
      </c>
      <c r="L59" s="32"/>
      <c r="M59" s="32">
        <v>0</v>
      </c>
      <c r="N59"/>
    </row>
    <row r="60" spans="1:15" s="5" customFormat="1" ht="18" customHeight="1" thickBot="1" x14ac:dyDescent="0.25">
      <c r="A60" s="69" t="s">
        <v>14</v>
      </c>
      <c r="B60" s="70"/>
      <c r="C60" s="70"/>
      <c r="D60" s="71"/>
      <c r="E60" s="33">
        <f>SUM(E58:E59)</f>
        <v>2280.6149500000001</v>
      </c>
      <c r="F60" s="34"/>
      <c r="G60" s="35"/>
      <c r="H60" s="33">
        <f>SUM(H58,H59)</f>
        <v>2280.6149500000001</v>
      </c>
      <c r="I60" s="82"/>
      <c r="J60" s="83"/>
      <c r="K60" s="36">
        <f>SUM(K58:K59)</f>
        <v>2280.6149500000001</v>
      </c>
      <c r="L60" s="36"/>
      <c r="M60" s="36">
        <f>SUM(M58:M59)</f>
        <v>0</v>
      </c>
      <c r="N60"/>
    </row>
    <row r="61" spans="1:15" ht="15" customHeight="1" x14ac:dyDescent="0.2">
      <c r="A61" s="2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/>
      <c r="O61" s="2"/>
    </row>
    <row r="62" spans="1:15" ht="12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37"/>
    </row>
    <row r="63" spans="1:15" s="10" customFormat="1" ht="25.5" customHeight="1" x14ac:dyDescent="0.15">
      <c r="A63" s="51" t="s">
        <v>66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3"/>
    </row>
    <row r="64" spans="1:15" ht="24" customHeight="1" x14ac:dyDescent="0.2">
      <c r="A64" s="41" t="s">
        <v>1</v>
      </c>
      <c r="B64" s="54" t="s">
        <v>2</v>
      </c>
      <c r="C64" s="56" t="s">
        <v>3</v>
      </c>
      <c r="D64" s="57"/>
      <c r="E64" s="58"/>
      <c r="F64" s="56" t="s">
        <v>4</v>
      </c>
      <c r="G64" s="57"/>
      <c r="H64" s="58"/>
      <c r="I64" s="39" t="s">
        <v>5</v>
      </c>
      <c r="J64" s="39" t="s">
        <v>6</v>
      </c>
      <c r="K64" s="39" t="s">
        <v>7</v>
      </c>
      <c r="L64" s="39" t="s">
        <v>8</v>
      </c>
      <c r="M64" s="39" t="s">
        <v>9</v>
      </c>
      <c r="N64" s="39" t="s">
        <v>10</v>
      </c>
      <c r="O64" s="41" t="s">
        <v>11</v>
      </c>
    </row>
    <row r="65" spans="1:17" ht="24" customHeight="1" thickBot="1" x14ac:dyDescent="0.25">
      <c r="A65" s="42"/>
      <c r="B65" s="55"/>
      <c r="C65" s="12" t="s">
        <v>12</v>
      </c>
      <c r="D65" s="11" t="s">
        <v>13</v>
      </c>
      <c r="E65" s="13" t="s">
        <v>14</v>
      </c>
      <c r="F65" s="13" t="s">
        <v>12</v>
      </c>
      <c r="G65" s="13" t="s">
        <v>13</v>
      </c>
      <c r="H65" s="13" t="s">
        <v>14</v>
      </c>
      <c r="I65" s="40"/>
      <c r="J65" s="40"/>
      <c r="K65" s="40"/>
      <c r="L65" s="40"/>
      <c r="M65" s="40"/>
      <c r="N65" s="40"/>
      <c r="O65" s="42"/>
    </row>
    <row r="66" spans="1:17" ht="65" customHeight="1" x14ac:dyDescent="0.2">
      <c r="A66" s="123">
        <v>1</v>
      </c>
      <c r="B66" s="143" t="s">
        <v>67</v>
      </c>
      <c r="C66" s="125">
        <v>60</v>
      </c>
      <c r="D66" s="126">
        <v>43.12</v>
      </c>
      <c r="E66" s="126">
        <f t="shared" ref="E66:E67" si="29">C66*D66</f>
        <v>2587.1999999999998</v>
      </c>
      <c r="F66" s="125">
        <v>60</v>
      </c>
      <c r="G66" s="126">
        <v>43.12</v>
      </c>
      <c r="H66" s="126">
        <f>F66*G66</f>
        <v>2587.1999999999998</v>
      </c>
      <c r="I66" s="127">
        <v>1</v>
      </c>
      <c r="J66" s="127">
        <v>50</v>
      </c>
      <c r="K66" s="126">
        <f>H66*(1-L66)</f>
        <v>2535.4559999999997</v>
      </c>
      <c r="L66" s="128">
        <f>IF((I66/J66)&gt;=0.75,0.75,IF((I66/J66)&gt;=0,(I66/J66),IF((I66/J66)&lt;=0.1,0)))</f>
        <v>0.02</v>
      </c>
      <c r="M66" s="126">
        <f>H66-K66</f>
        <v>51.744000000000142</v>
      </c>
      <c r="N66" s="129" t="s">
        <v>89</v>
      </c>
      <c r="O66" s="130" t="s">
        <v>82</v>
      </c>
    </row>
    <row r="67" spans="1:17" ht="65" customHeight="1" x14ac:dyDescent="0.2">
      <c r="A67" s="131">
        <v>2</v>
      </c>
      <c r="B67" s="122" t="s">
        <v>68</v>
      </c>
      <c r="C67" s="116">
        <v>500</v>
      </c>
      <c r="D67" s="118">
        <v>8.41</v>
      </c>
      <c r="E67" s="118">
        <f t="shared" si="29"/>
        <v>4205</v>
      </c>
      <c r="F67" s="116">
        <v>500</v>
      </c>
      <c r="G67" s="118">
        <v>8.41</v>
      </c>
      <c r="H67" s="118">
        <f t="shared" ref="H67" si="30">F67*G67</f>
        <v>4205</v>
      </c>
      <c r="I67" s="119">
        <v>1</v>
      </c>
      <c r="J67" s="119">
        <v>50</v>
      </c>
      <c r="K67" s="118">
        <f t="shared" ref="K67:K74" si="31">H67*(1-L67)</f>
        <v>4120.8999999999996</v>
      </c>
      <c r="L67" s="120">
        <f t="shared" ref="L67:L74" si="32">IF((I67/J67)&gt;=0.75,0.75,IF((I67/J67)&gt;=0,(I67/J67),IF((I67/J67)&lt;=0.1,0)))</f>
        <v>0.02</v>
      </c>
      <c r="M67" s="118">
        <f t="shared" ref="M67:M74" si="33">H67-K67</f>
        <v>84.100000000000364</v>
      </c>
      <c r="N67" s="121" t="s">
        <v>89</v>
      </c>
      <c r="O67" s="132" t="s">
        <v>83</v>
      </c>
    </row>
    <row r="68" spans="1:17" ht="65" customHeight="1" x14ac:dyDescent="0.2">
      <c r="A68" s="131">
        <v>3</v>
      </c>
      <c r="B68" s="122" t="s">
        <v>69</v>
      </c>
      <c r="C68" s="116">
        <v>100</v>
      </c>
      <c r="D68" s="118">
        <v>27.56</v>
      </c>
      <c r="E68" s="118">
        <f t="shared" ref="E68:E69" si="34">C68*D68</f>
        <v>2756</v>
      </c>
      <c r="F68" s="116">
        <v>100</v>
      </c>
      <c r="G68" s="118">
        <v>27.56</v>
      </c>
      <c r="H68" s="118">
        <f t="shared" ref="H68:H69" si="35">F68*G68</f>
        <v>2756</v>
      </c>
      <c r="I68" s="119">
        <v>1</v>
      </c>
      <c r="J68" s="119">
        <v>50</v>
      </c>
      <c r="K68" s="118">
        <f t="shared" si="31"/>
        <v>2700.88</v>
      </c>
      <c r="L68" s="120">
        <f t="shared" si="32"/>
        <v>0.02</v>
      </c>
      <c r="M68" s="118">
        <f t="shared" si="33"/>
        <v>55.119999999999891</v>
      </c>
      <c r="N68" s="121" t="s">
        <v>89</v>
      </c>
      <c r="O68" s="132" t="s">
        <v>84</v>
      </c>
    </row>
    <row r="69" spans="1:17" ht="65" customHeight="1" x14ac:dyDescent="0.2">
      <c r="A69" s="131">
        <v>4</v>
      </c>
      <c r="B69" s="122" t="s">
        <v>70</v>
      </c>
      <c r="C69" s="116">
        <v>100</v>
      </c>
      <c r="D69" s="118">
        <v>12.36</v>
      </c>
      <c r="E69" s="118">
        <f t="shared" si="34"/>
        <v>1236</v>
      </c>
      <c r="F69" s="116">
        <v>100</v>
      </c>
      <c r="G69" s="118">
        <v>12.36</v>
      </c>
      <c r="H69" s="118">
        <f t="shared" si="35"/>
        <v>1236</v>
      </c>
      <c r="I69" s="119">
        <v>1</v>
      </c>
      <c r="J69" s="119">
        <v>50</v>
      </c>
      <c r="K69" s="118">
        <f t="shared" si="31"/>
        <v>1211.28</v>
      </c>
      <c r="L69" s="120">
        <f t="shared" si="32"/>
        <v>0.02</v>
      </c>
      <c r="M69" s="118">
        <f t="shared" si="33"/>
        <v>24.720000000000027</v>
      </c>
      <c r="N69" s="121" t="s">
        <v>89</v>
      </c>
      <c r="O69" s="132" t="s">
        <v>85</v>
      </c>
    </row>
    <row r="70" spans="1:17" ht="65" customHeight="1" x14ac:dyDescent="0.2">
      <c r="A70" s="131">
        <v>5</v>
      </c>
      <c r="B70" s="122" t="s">
        <v>71</v>
      </c>
      <c r="C70" s="116">
        <v>100</v>
      </c>
      <c r="D70" s="118">
        <v>9.4499999999999993</v>
      </c>
      <c r="E70" s="118">
        <f t="shared" ref="E70:E73" si="36">C70*D70</f>
        <v>944.99999999999989</v>
      </c>
      <c r="F70" s="116">
        <v>100</v>
      </c>
      <c r="G70" s="118">
        <v>9.4499999999999993</v>
      </c>
      <c r="H70" s="118">
        <f t="shared" ref="H70:H73" si="37">F70*G70</f>
        <v>944.99999999999989</v>
      </c>
      <c r="I70" s="119">
        <v>1</v>
      </c>
      <c r="J70" s="119">
        <v>50</v>
      </c>
      <c r="K70" s="118">
        <f t="shared" si="31"/>
        <v>926.09999999999991</v>
      </c>
      <c r="L70" s="120">
        <f t="shared" si="32"/>
        <v>0.02</v>
      </c>
      <c r="M70" s="118">
        <f t="shared" si="33"/>
        <v>18.899999999999977</v>
      </c>
      <c r="N70" s="121" t="s">
        <v>89</v>
      </c>
      <c r="O70" s="132" t="s">
        <v>86</v>
      </c>
    </row>
    <row r="71" spans="1:17" ht="65" customHeight="1" x14ac:dyDescent="0.2">
      <c r="A71" s="131">
        <v>6</v>
      </c>
      <c r="B71" s="122" t="s">
        <v>72</v>
      </c>
      <c r="C71" s="116">
        <v>100</v>
      </c>
      <c r="D71" s="118">
        <v>7.96</v>
      </c>
      <c r="E71" s="118">
        <f t="shared" si="36"/>
        <v>796</v>
      </c>
      <c r="F71" s="116">
        <v>100</v>
      </c>
      <c r="G71" s="118">
        <v>7.96</v>
      </c>
      <c r="H71" s="118">
        <f t="shared" si="37"/>
        <v>796</v>
      </c>
      <c r="I71" s="119">
        <v>1</v>
      </c>
      <c r="J71" s="119">
        <v>50</v>
      </c>
      <c r="K71" s="118">
        <f t="shared" si="31"/>
        <v>780.08</v>
      </c>
      <c r="L71" s="120">
        <f t="shared" si="32"/>
        <v>0.02</v>
      </c>
      <c r="M71" s="118">
        <f t="shared" si="33"/>
        <v>15.919999999999959</v>
      </c>
      <c r="N71" s="121" t="s">
        <v>89</v>
      </c>
      <c r="O71" s="132" t="s">
        <v>87</v>
      </c>
    </row>
    <row r="72" spans="1:17" ht="65" customHeight="1" x14ac:dyDescent="0.2">
      <c r="A72" s="131">
        <v>7</v>
      </c>
      <c r="B72" s="122" t="s">
        <v>73</v>
      </c>
      <c r="C72" s="116">
        <v>10</v>
      </c>
      <c r="D72" s="118">
        <v>32.4</v>
      </c>
      <c r="E72" s="118">
        <f t="shared" si="36"/>
        <v>324</v>
      </c>
      <c r="F72" s="116">
        <v>10</v>
      </c>
      <c r="G72" s="118">
        <v>32.4</v>
      </c>
      <c r="H72" s="118">
        <f t="shared" si="37"/>
        <v>324</v>
      </c>
      <c r="I72" s="119">
        <v>1</v>
      </c>
      <c r="J72" s="119">
        <v>50</v>
      </c>
      <c r="K72" s="118">
        <f t="shared" si="31"/>
        <v>317.52</v>
      </c>
      <c r="L72" s="120">
        <f t="shared" si="32"/>
        <v>0.02</v>
      </c>
      <c r="M72" s="118">
        <f t="shared" si="33"/>
        <v>6.4800000000000182</v>
      </c>
      <c r="N72" s="121" t="s">
        <v>89</v>
      </c>
      <c r="O72" s="132" t="s">
        <v>88</v>
      </c>
    </row>
    <row r="73" spans="1:17" ht="65" customHeight="1" x14ac:dyDescent="0.2">
      <c r="A73" s="131">
        <v>8</v>
      </c>
      <c r="B73" s="122" t="s">
        <v>74</v>
      </c>
      <c r="C73" s="116">
        <v>20</v>
      </c>
      <c r="D73" s="118">
        <v>11.67</v>
      </c>
      <c r="E73" s="118">
        <f t="shared" si="36"/>
        <v>233.4</v>
      </c>
      <c r="F73" s="116">
        <v>20</v>
      </c>
      <c r="G73" s="118">
        <v>11.67</v>
      </c>
      <c r="H73" s="118">
        <f t="shared" si="37"/>
        <v>233.4</v>
      </c>
      <c r="I73" s="119">
        <v>1</v>
      </c>
      <c r="J73" s="119">
        <v>50</v>
      </c>
      <c r="K73" s="118">
        <f t="shared" si="31"/>
        <v>228.732</v>
      </c>
      <c r="L73" s="120">
        <f t="shared" si="32"/>
        <v>0.02</v>
      </c>
      <c r="M73" s="118">
        <f t="shared" si="33"/>
        <v>4.6680000000000064</v>
      </c>
      <c r="N73" s="121" t="s">
        <v>89</v>
      </c>
      <c r="O73" s="132" t="s">
        <v>90</v>
      </c>
    </row>
    <row r="74" spans="1:17" ht="65" customHeight="1" x14ac:dyDescent="0.2">
      <c r="A74" s="131">
        <v>9</v>
      </c>
      <c r="B74" s="122" t="s">
        <v>75</v>
      </c>
      <c r="C74" s="116">
        <v>20</v>
      </c>
      <c r="D74" s="118">
        <v>4.76</v>
      </c>
      <c r="E74" s="118">
        <f t="shared" ref="E74:E78" si="38">C74*D74</f>
        <v>95.199999999999989</v>
      </c>
      <c r="F74" s="116">
        <v>20</v>
      </c>
      <c r="G74" s="118">
        <v>4.76</v>
      </c>
      <c r="H74" s="118">
        <f t="shared" ref="H74:H78" si="39">F74*G74</f>
        <v>95.199999999999989</v>
      </c>
      <c r="I74" s="119">
        <v>1</v>
      </c>
      <c r="J74" s="119">
        <v>50</v>
      </c>
      <c r="K74" s="118">
        <f t="shared" si="31"/>
        <v>93.295999999999992</v>
      </c>
      <c r="L74" s="120">
        <f t="shared" si="32"/>
        <v>0.02</v>
      </c>
      <c r="M74" s="118">
        <f t="shared" si="33"/>
        <v>1.9039999999999964</v>
      </c>
      <c r="N74" s="121" t="s">
        <v>89</v>
      </c>
      <c r="O74" s="132" t="s">
        <v>91</v>
      </c>
    </row>
    <row r="75" spans="1:17" ht="65" customHeight="1" x14ac:dyDescent="0.2">
      <c r="A75" s="131">
        <v>10</v>
      </c>
      <c r="B75" s="122" t="s">
        <v>76</v>
      </c>
      <c r="C75" s="116">
        <v>20</v>
      </c>
      <c r="D75" s="118">
        <v>3.37</v>
      </c>
      <c r="E75" s="118">
        <f t="shared" si="38"/>
        <v>67.400000000000006</v>
      </c>
      <c r="F75" s="116">
        <v>20</v>
      </c>
      <c r="G75" s="118">
        <v>3.37</v>
      </c>
      <c r="H75" s="118">
        <f t="shared" si="39"/>
        <v>67.400000000000006</v>
      </c>
      <c r="I75" s="119">
        <v>1</v>
      </c>
      <c r="J75" s="119">
        <v>50</v>
      </c>
      <c r="K75" s="118">
        <f t="shared" ref="K75:K78" si="40">H75*(1-L75)</f>
        <v>66.052000000000007</v>
      </c>
      <c r="L75" s="120">
        <f t="shared" ref="L75:L78" si="41">IF((I75/J75)&gt;=0.75,0.75,IF((I75/J75)&gt;=0,(I75/J75),IF((I75/J75)&lt;=0.1,0)))</f>
        <v>0.02</v>
      </c>
      <c r="M75" s="118">
        <f t="shared" ref="M75:M78" si="42">H75-K75</f>
        <v>1.347999999999999</v>
      </c>
      <c r="N75" s="121" t="s">
        <v>89</v>
      </c>
      <c r="O75" s="132" t="s">
        <v>92</v>
      </c>
    </row>
    <row r="76" spans="1:17" ht="65" customHeight="1" x14ac:dyDescent="0.2">
      <c r="A76" s="131">
        <v>11</v>
      </c>
      <c r="B76" s="122" t="s">
        <v>77</v>
      </c>
      <c r="C76" s="116">
        <v>400</v>
      </c>
      <c r="D76" s="118">
        <v>5.5</v>
      </c>
      <c r="E76" s="118">
        <f t="shared" si="38"/>
        <v>2200</v>
      </c>
      <c r="F76" s="116">
        <v>400</v>
      </c>
      <c r="G76" s="118">
        <v>5.5</v>
      </c>
      <c r="H76" s="118">
        <f t="shared" si="39"/>
        <v>2200</v>
      </c>
      <c r="I76" s="119">
        <v>1</v>
      </c>
      <c r="J76" s="119">
        <v>50</v>
      </c>
      <c r="K76" s="118">
        <f t="shared" si="40"/>
        <v>2156</v>
      </c>
      <c r="L76" s="120">
        <f t="shared" si="41"/>
        <v>0.02</v>
      </c>
      <c r="M76" s="118">
        <f t="shared" si="42"/>
        <v>44</v>
      </c>
      <c r="N76" s="121" t="s">
        <v>89</v>
      </c>
      <c r="O76" s="132" t="s">
        <v>93</v>
      </c>
    </row>
    <row r="77" spans="1:17" ht="110" customHeight="1" x14ac:dyDescent="0.2">
      <c r="A77" s="131">
        <v>12</v>
      </c>
      <c r="B77" s="122" t="s">
        <v>96</v>
      </c>
      <c r="C77" s="116">
        <v>1</v>
      </c>
      <c r="D77" s="118">
        <v>8490</v>
      </c>
      <c r="E77" s="118">
        <f t="shared" si="38"/>
        <v>8490</v>
      </c>
      <c r="F77" s="116">
        <v>1</v>
      </c>
      <c r="G77" s="118">
        <v>8490</v>
      </c>
      <c r="H77" s="118">
        <f t="shared" si="39"/>
        <v>8490</v>
      </c>
      <c r="I77" s="119">
        <v>1</v>
      </c>
      <c r="J77" s="119">
        <v>50</v>
      </c>
      <c r="K77" s="118">
        <f t="shared" si="40"/>
        <v>8320.2000000000007</v>
      </c>
      <c r="L77" s="120">
        <f t="shared" si="41"/>
        <v>0.02</v>
      </c>
      <c r="M77" s="118">
        <f t="shared" si="42"/>
        <v>169.79999999999927</v>
      </c>
      <c r="N77" s="121" t="s">
        <v>89</v>
      </c>
      <c r="O77" s="132" t="s">
        <v>95</v>
      </c>
      <c r="Q77" s="146"/>
    </row>
    <row r="78" spans="1:17" ht="65" customHeight="1" thickBot="1" x14ac:dyDescent="0.25">
      <c r="A78" s="134">
        <v>13</v>
      </c>
      <c r="B78" s="144" t="s">
        <v>78</v>
      </c>
      <c r="C78" s="136">
        <v>1</v>
      </c>
      <c r="D78" s="137">
        <v>6500</v>
      </c>
      <c r="E78" s="137">
        <f t="shared" si="38"/>
        <v>6500</v>
      </c>
      <c r="F78" s="136">
        <v>36</v>
      </c>
      <c r="G78" s="137">
        <f>6500/36</f>
        <v>180.55555555555554</v>
      </c>
      <c r="H78" s="137">
        <f t="shared" si="39"/>
        <v>6500</v>
      </c>
      <c r="I78" s="138">
        <v>1</v>
      </c>
      <c r="J78" s="138">
        <v>50</v>
      </c>
      <c r="K78" s="137">
        <f t="shared" si="40"/>
        <v>6370</v>
      </c>
      <c r="L78" s="139">
        <f t="shared" si="41"/>
        <v>0.02</v>
      </c>
      <c r="M78" s="137">
        <f t="shared" si="42"/>
        <v>130</v>
      </c>
      <c r="N78" s="140" t="s">
        <v>89</v>
      </c>
      <c r="O78" s="145" t="s">
        <v>94</v>
      </c>
    </row>
    <row r="79" spans="1:17" s="5" customFormat="1" ht="18" customHeight="1" thickBot="1" x14ac:dyDescent="0.25">
      <c r="A79" s="77" t="s">
        <v>15</v>
      </c>
      <c r="B79" s="78"/>
      <c r="C79" s="78"/>
      <c r="D79" s="79"/>
      <c r="E79" s="24">
        <f>SUM(E66:E78)</f>
        <v>30435.200000000001</v>
      </c>
      <c r="F79" s="25"/>
      <c r="G79" s="26"/>
      <c r="H79" s="27">
        <f>SUM(H66:H78)</f>
        <v>30435.200000000001</v>
      </c>
      <c r="I79" s="80"/>
      <c r="J79" s="81"/>
      <c r="K79" s="28">
        <f>SUM(K66:K78)</f>
        <v>29826.496000000003</v>
      </c>
      <c r="L79" s="28"/>
      <c r="M79" s="28">
        <f>SUM(M66:M78)</f>
        <v>608.70399999999972</v>
      </c>
      <c r="N79"/>
    </row>
    <row r="80" spans="1:17" s="5" customFormat="1" ht="18" customHeight="1" x14ac:dyDescent="0.2">
      <c r="A80" s="69" t="s">
        <v>79</v>
      </c>
      <c r="B80" s="70"/>
      <c r="C80" s="70"/>
      <c r="D80" s="71"/>
      <c r="E80" s="29">
        <f>E79*0.0775</f>
        <v>2358.7280000000001</v>
      </c>
      <c r="F80" s="30"/>
      <c r="G80" s="31"/>
      <c r="H80" s="29">
        <f>H79*0.0775</f>
        <v>2358.7280000000001</v>
      </c>
      <c r="I80" s="84"/>
      <c r="J80" s="85"/>
      <c r="K80" s="32">
        <f>K79*0.0775</f>
        <v>2311.5534400000001</v>
      </c>
      <c r="L80" s="32"/>
      <c r="M80" s="32">
        <f>H80-K80</f>
        <v>47.174559999999929</v>
      </c>
      <c r="N80"/>
    </row>
    <row r="81" spans="1:14" s="5" customFormat="1" ht="18" customHeight="1" x14ac:dyDescent="0.2">
      <c r="A81" s="69" t="s">
        <v>14</v>
      </c>
      <c r="B81" s="70"/>
      <c r="C81" s="70"/>
      <c r="D81" s="71"/>
      <c r="E81" s="33">
        <f>SUM(E79:E80)</f>
        <v>32793.928</v>
      </c>
      <c r="F81" s="34"/>
      <c r="G81" s="35"/>
      <c r="H81" s="33">
        <f>SUM(H79,H80)</f>
        <v>32793.928</v>
      </c>
      <c r="I81" s="82"/>
      <c r="J81" s="83"/>
      <c r="K81" s="36">
        <f>SUM(K79:K80)</f>
        <v>32138.049440000003</v>
      </c>
      <c r="L81" s="36"/>
      <c r="M81" s="36">
        <f>SUM(M79:M80)</f>
        <v>655.87855999999965</v>
      </c>
      <c r="N81"/>
    </row>
    <row r="82" spans="1:14" ht="12.75" customHeight="1" x14ac:dyDescent="0.2">
      <c r="A82" s="76"/>
      <c r="B82" s="7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4" spans="1:14" x14ac:dyDescent="0.2">
      <c r="B84" s="43" t="s">
        <v>16</v>
      </c>
      <c r="C84" s="44"/>
      <c r="D84" s="45"/>
      <c r="E84" s="49">
        <f>E81+E60+E26</f>
        <v>45066.512925000003</v>
      </c>
      <c r="H84" s="38"/>
    </row>
    <row r="85" spans="1:14" x14ac:dyDescent="0.2">
      <c r="B85" s="46"/>
      <c r="C85" s="47"/>
      <c r="D85" s="48"/>
      <c r="E85" s="59"/>
      <c r="H85" s="38"/>
    </row>
    <row r="87" spans="1:14" x14ac:dyDescent="0.2">
      <c r="B87" s="43" t="s">
        <v>17</v>
      </c>
      <c r="C87" s="44"/>
      <c r="D87" s="45"/>
      <c r="E87" s="49">
        <f>H81+H60+H26</f>
        <v>43093.631975000004</v>
      </c>
    </row>
    <row r="88" spans="1:14" x14ac:dyDescent="0.2">
      <c r="B88" s="46"/>
      <c r="C88" s="47"/>
      <c r="D88" s="48"/>
      <c r="E88" s="59"/>
    </row>
    <row r="90" spans="1:14" x14ac:dyDescent="0.2">
      <c r="B90" s="43" t="s">
        <v>18</v>
      </c>
      <c r="C90" s="44"/>
      <c r="D90" s="45"/>
      <c r="E90" s="49">
        <f>K81+K60+K26</f>
        <v>41706.956280000006</v>
      </c>
    </row>
    <row r="91" spans="1:14" x14ac:dyDescent="0.2">
      <c r="B91" s="46"/>
      <c r="C91" s="47"/>
      <c r="D91" s="48"/>
      <c r="E91" s="59"/>
      <c r="I91" s="8"/>
      <c r="J91" s="8"/>
      <c r="K91" s="8"/>
      <c r="L91" s="8"/>
    </row>
    <row r="92" spans="1:14" x14ac:dyDescent="0.2">
      <c r="I92" s="8"/>
      <c r="J92" s="8"/>
      <c r="K92" s="8"/>
      <c r="L92" s="8"/>
    </row>
    <row r="93" spans="1:14" x14ac:dyDescent="0.2">
      <c r="B93" s="43" t="s">
        <v>19</v>
      </c>
      <c r="C93" s="44"/>
      <c r="D93" s="45"/>
      <c r="E93" s="49">
        <f>M81+M60+M26</f>
        <v>1386.6756949999992</v>
      </c>
    </row>
    <row r="94" spans="1:14" x14ac:dyDescent="0.2">
      <c r="B94" s="46"/>
      <c r="C94" s="47"/>
      <c r="D94" s="48"/>
      <c r="E94" s="50"/>
    </row>
  </sheetData>
  <mergeCells count="69">
    <mergeCell ref="I81:J81"/>
    <mergeCell ref="A25:D25"/>
    <mergeCell ref="I25:J25"/>
    <mergeCell ref="A26:D26"/>
    <mergeCell ref="I26:J26"/>
    <mergeCell ref="A79:D79"/>
    <mergeCell ref="I79:J79"/>
    <mergeCell ref="I80:J80"/>
    <mergeCell ref="I30:I31"/>
    <mergeCell ref="J30:J31"/>
    <mergeCell ref="A58:D58"/>
    <mergeCell ref="I58:J58"/>
    <mergeCell ref="A59:D59"/>
    <mergeCell ref="I59:J59"/>
    <mergeCell ref="A60:D60"/>
    <mergeCell ref="I60:J60"/>
    <mergeCell ref="G4:H5"/>
    <mergeCell ref="A82:B82"/>
    <mergeCell ref="F9:H9"/>
    <mergeCell ref="A9:A10"/>
    <mergeCell ref="A8:O8"/>
    <mergeCell ref="C9:E9"/>
    <mergeCell ref="B9:B10"/>
    <mergeCell ref="A24:D24"/>
    <mergeCell ref="I24:J24"/>
    <mergeCell ref="L9:L10"/>
    <mergeCell ref="O9:O10"/>
    <mergeCell ref="I9:I10"/>
    <mergeCell ref="J9:J10"/>
    <mergeCell ref="K9:K10"/>
    <mergeCell ref="M9:M10"/>
    <mergeCell ref="N9:N10"/>
    <mergeCell ref="B90:D91"/>
    <mergeCell ref="E90:E91"/>
    <mergeCell ref="A1:E1"/>
    <mergeCell ref="A2:E2"/>
    <mergeCell ref="A3:E3"/>
    <mergeCell ref="A4:E4"/>
    <mergeCell ref="A5:E5"/>
    <mergeCell ref="E84:E85"/>
    <mergeCell ref="E87:E88"/>
    <mergeCell ref="A80:D80"/>
    <mergeCell ref="A81:D81"/>
    <mergeCell ref="A29:O29"/>
    <mergeCell ref="A30:A31"/>
    <mergeCell ref="B30:B31"/>
    <mergeCell ref="C30:E30"/>
    <mergeCell ref="F30:H30"/>
    <mergeCell ref="B93:D94"/>
    <mergeCell ref="E93:E94"/>
    <mergeCell ref="B84:D85"/>
    <mergeCell ref="B87:D88"/>
    <mergeCell ref="A63:O63"/>
    <mergeCell ref="A64:A65"/>
    <mergeCell ref="B64:B65"/>
    <mergeCell ref="C64:E64"/>
    <mergeCell ref="F64:H64"/>
    <mergeCell ref="I64:I65"/>
    <mergeCell ref="J64:J65"/>
    <mergeCell ref="K64:K65"/>
    <mergeCell ref="L64:L65"/>
    <mergeCell ref="M64:M65"/>
    <mergeCell ref="N64:N65"/>
    <mergeCell ref="O64:O65"/>
    <mergeCell ref="K30:K31"/>
    <mergeCell ref="L30:L31"/>
    <mergeCell ref="M30:M31"/>
    <mergeCell ref="N30:N31"/>
    <mergeCell ref="O30:O31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2026-03-01T00:25:03Z</dcterms:modified>
  <cp:category/>
  <cp:contentStatus/>
</cp:coreProperties>
</file>