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Precision Wire Forms, Inc./"/>
    </mc:Choice>
  </mc:AlternateContent>
  <xr:revisionPtr revIDLastSave="0" documentId="13_ncr:1_{E3656A5A-0BF4-0E42-8ABC-6163A53541E5}" xr6:coauthVersionLast="47" xr6:coauthVersionMax="47" xr10:uidLastSave="{00000000-0000-0000-0000-000000000000}"/>
  <bookViews>
    <workbookView xWindow="7760" yWindow="322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5" i="1" l="1"/>
  <c r="K15" i="1"/>
  <c r="E19" i="1"/>
  <c r="H11" i="1"/>
  <c r="L11" i="1"/>
  <c r="E13" i="1"/>
  <c r="H13" i="1"/>
  <c r="E11" i="1"/>
  <c r="K13" i="1" l="1"/>
  <c r="M13" i="1" s="1"/>
  <c r="K11" i="1"/>
  <c r="E12" i="1" l="1"/>
  <c r="H12" i="1"/>
  <c r="K12" i="1" s="1"/>
  <c r="E14" i="1" l="1"/>
  <c r="E16" i="1" s="1"/>
  <c r="M12" i="1"/>
  <c r="H14" i="1" l="1"/>
  <c r="H16" i="1" s="1"/>
  <c r="E22" i="1" s="1"/>
  <c r="K14" i="1"/>
  <c r="K16" i="1" s="1"/>
  <c r="E25" i="1" s="1"/>
  <c r="M11" i="1" l="1"/>
  <c r="M14" i="1" s="1"/>
  <c r="M16" i="1" s="1"/>
  <c r="E28" i="1" s="1"/>
</calcChain>
</file>

<file path=xl/sharedStrings.xml><?xml version="1.0" encoding="utf-8"?>
<sst xmlns="http://schemas.openxmlformats.org/spreadsheetml/2006/main" count="44" uniqueCount="33">
  <si>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</si>
  <si>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</si>
  <si>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</si>
  <si>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</si>
  <si>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</si>
  <si>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</si>
  <si>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</si>
  <si>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</si>
  <si>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</si>
  <si>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</si>
  <si>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</si>
  <si>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</si>
  <si>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</si>
  <si>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</si>
  <si>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</si>
  <si>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</si>
  <si>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</si>
  <si>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</si>
  <si>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</si>
  <si>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</si>
  <si>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</si>
  <si>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PRECISION WIRE FORMS, INC.</t>
  </si>
  <si>
    <t xml:space="preserve">LSG MATTER #: 426600.4205-00 </t>
  </si>
  <si>
    <t>CLAIM #: 85-00904405</t>
  </si>
  <si>
    <t>DATE OF LOSS: 1/14/2026</t>
  </si>
  <si>
    <t>CAUSE OF LOSS: FIRE</t>
  </si>
  <si>
    <t>AIRGAS USA, LLC (260-888-9091) QUOTATION # 2014146135</t>
  </si>
  <si>
    <t>LINCOLN ELECTRIC CO AD2455-2</t>
  </si>
  <si>
    <t>LINCOLN ELECTRIC CO PRISM 4 COMPACT (10 HORSEPOWER 4000 CFM) FUME EXTRACTION UNIT WITH INLET UPWARDS.</t>
  </si>
  <si>
    <t>DELIVERY FLAT FEE</t>
  </si>
  <si>
    <t>FUEL SURCHARGE FLAT</t>
  </si>
  <si>
    <t>N/A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</si>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</sst>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0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2" borderId="16" xfId="0" applyFont="1" applyFill="1" applyBorder="1" applyAlignment="1">
      <alignment horizontal="center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9"/>
  <sheetViews>
    <sheetView tabSelected="1" zoomScale="80" zoomScaleNormal="80" zoomScalePageLayoutView="90" workbookViewId="0">
      <selection activeCell="I25" sqref="I25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customWidth="1"/>
    <col min="14" max="14" width="13.6640625" style="5" customWidth="1"/>
    <col min="15" max="15" width="47.6640625" style="9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72" t="s">
        <v>21</v>
      </c>
      <c r="B1" s="73"/>
      <c r="C1" s="73"/>
      <c r="D1" s="73"/>
      <c r="E1" s="74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75" t="s">
        <v>22</v>
      </c>
      <c r="B2" s="76"/>
      <c r="C2" s="76"/>
      <c r="D2" s="76"/>
      <c r="E2" s="77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75" t="s">
        <v>23</v>
      </c>
      <c r="B3" s="76"/>
      <c r="C3" s="76"/>
      <c r="D3" s="76"/>
      <c r="E3" s="77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8" ht="15.75" customHeight="1" x14ac:dyDescent="0.2">
      <c r="A4" s="75" t="s">
        <v>24</v>
      </c>
      <c r="B4" s="76"/>
      <c r="C4" s="76"/>
      <c r="D4" s="76"/>
      <c r="E4" s="77"/>
      <c r="F4" s="7"/>
      <c r="G4" s="47" t="s">
        <v>0</v>
      </c>
      <c r="H4" s="48"/>
      <c r="I4" s="4"/>
      <c r="J4" s="8"/>
      <c r="K4" s="8"/>
      <c r="L4" s="1"/>
      <c r="O4" s="3"/>
    </row>
    <row r="5" spans="1:18" ht="15.75" customHeight="1" x14ac:dyDescent="0.2">
      <c r="A5" s="78" t="s">
        <v>25</v>
      </c>
      <c r="B5" s="79"/>
      <c r="C5" s="79"/>
      <c r="D5" s="79"/>
      <c r="E5" s="80"/>
      <c r="F5" s="1"/>
      <c r="G5" s="49"/>
      <c r="H5" s="50"/>
      <c r="I5" s="4"/>
      <c r="J5" s="1"/>
      <c r="K5" s="1"/>
      <c r="L5" s="1"/>
      <c r="O5" s="3"/>
    </row>
    <row r="8" spans="1:18" s="10" customFormat="1" ht="25.5" customHeight="1" x14ac:dyDescent="0.15">
      <c r="A8" s="57" t="s">
        <v>26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9"/>
    </row>
    <row r="9" spans="1:18" ht="24" customHeight="1" x14ac:dyDescent="0.2">
      <c r="A9" s="55" t="s">
        <v>1</v>
      </c>
      <c r="B9" s="60" t="s">
        <v>2</v>
      </c>
      <c r="C9" s="52" t="s">
        <v>3</v>
      </c>
      <c r="D9" s="53"/>
      <c r="E9" s="54"/>
      <c r="F9" s="52" t="s">
        <v>4</v>
      </c>
      <c r="G9" s="53"/>
      <c r="H9" s="54"/>
      <c r="I9" s="62" t="s">
        <v>5</v>
      </c>
      <c r="J9" s="62" t="s">
        <v>6</v>
      </c>
      <c r="K9" s="62" t="s">
        <v>7</v>
      </c>
      <c r="L9" s="62" t="s">
        <v>8</v>
      </c>
      <c r="M9" s="62" t="s">
        <v>9</v>
      </c>
      <c r="N9" s="62" t="s">
        <v>10</v>
      </c>
      <c r="O9" s="55" t="s">
        <v>11</v>
      </c>
    </row>
    <row r="10" spans="1:18" s="5" customFormat="1" ht="24" customHeight="1" thickBot="1" x14ac:dyDescent="0.25">
      <c r="A10" s="56"/>
      <c r="B10" s="61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63"/>
      <c r="J10" s="63"/>
      <c r="K10" s="63"/>
      <c r="L10" s="63"/>
      <c r="M10" s="63"/>
      <c r="N10" s="63"/>
      <c r="O10" s="56"/>
    </row>
    <row r="11" spans="1:18" s="5" customFormat="1" ht="65" customHeight="1" x14ac:dyDescent="0.2">
      <c r="A11" s="82">
        <v>1</v>
      </c>
      <c r="B11" s="83" t="s">
        <v>27</v>
      </c>
      <c r="C11" s="84">
        <v>1</v>
      </c>
      <c r="D11" s="85">
        <v>30855</v>
      </c>
      <c r="E11" s="85">
        <f>C11*D11</f>
        <v>30855</v>
      </c>
      <c r="F11" s="84">
        <v>1</v>
      </c>
      <c r="G11" s="85">
        <v>30855</v>
      </c>
      <c r="H11" s="85">
        <f>F11*G11</f>
        <v>30855</v>
      </c>
      <c r="I11" s="86">
        <v>2</v>
      </c>
      <c r="J11" s="86">
        <v>20</v>
      </c>
      <c r="K11" s="85">
        <f>H11*(1-L11)</f>
        <v>27769.5</v>
      </c>
      <c r="L11" s="87">
        <f>IF((I11/J11)&gt;=0.75,0.75,IF((I11/J11)&gt;=0,(I11/J11),IF((I11/J11)&lt;=1,0)))</f>
        <v>0.1</v>
      </c>
      <c r="M11" s="85">
        <f>H11-K11</f>
        <v>3085.5</v>
      </c>
      <c r="N11" s="88" t="s">
        <v>32</v>
      </c>
      <c r="O11" s="89" t="s">
        <v>28</v>
      </c>
      <c r="R11" s="34"/>
    </row>
    <row r="12" spans="1:18" s="5" customFormat="1" ht="65" customHeight="1" x14ac:dyDescent="0.2">
      <c r="A12" s="90">
        <v>2</v>
      </c>
      <c r="B12" s="14" t="s">
        <v>29</v>
      </c>
      <c r="C12" s="15">
        <v>1</v>
      </c>
      <c r="D12" s="16">
        <v>48.84</v>
      </c>
      <c r="E12" s="16">
        <f t="shared" ref="E12:E13" si="0">C12*D12</f>
        <v>48.84</v>
      </c>
      <c r="F12" s="15">
        <v>1</v>
      </c>
      <c r="G12" s="16">
        <v>48.84</v>
      </c>
      <c r="H12" s="16">
        <f t="shared" ref="H12" si="1">F12*G12</f>
        <v>48.84</v>
      </c>
      <c r="I12" s="17" t="s">
        <v>31</v>
      </c>
      <c r="J12" s="17" t="s">
        <v>31</v>
      </c>
      <c r="K12" s="18">
        <f t="shared" ref="K12:K13" si="2">H12*(1-L12)</f>
        <v>48.84</v>
      </c>
      <c r="L12" s="19">
        <v>0</v>
      </c>
      <c r="M12" s="18">
        <f t="shared" ref="M12:M13" si="3">H12-K12</f>
        <v>0</v>
      </c>
      <c r="N12" s="20" t="s">
        <v>31</v>
      </c>
      <c r="O12" s="91" t="s">
        <v>29</v>
      </c>
    </row>
    <row r="13" spans="1:18" s="5" customFormat="1" ht="65" customHeight="1" thickBot="1" x14ac:dyDescent="0.25">
      <c r="A13" s="92">
        <v>3</v>
      </c>
      <c r="B13" s="93" t="s">
        <v>30</v>
      </c>
      <c r="C13" s="94">
        <v>1</v>
      </c>
      <c r="D13" s="95">
        <v>15.27</v>
      </c>
      <c r="E13" s="95">
        <f t="shared" si="0"/>
        <v>15.27</v>
      </c>
      <c r="F13" s="94">
        <v>1</v>
      </c>
      <c r="G13" s="95">
        <v>15.27</v>
      </c>
      <c r="H13" s="95">
        <f>F13*G13</f>
        <v>15.27</v>
      </c>
      <c r="I13" s="96" t="s">
        <v>31</v>
      </c>
      <c r="J13" s="96" t="s">
        <v>31</v>
      </c>
      <c r="K13" s="95">
        <f t="shared" si="2"/>
        <v>15.27</v>
      </c>
      <c r="L13" s="97">
        <v>0</v>
      </c>
      <c r="M13" s="95">
        <f t="shared" si="3"/>
        <v>0</v>
      </c>
      <c r="N13" s="98" t="s">
        <v>31</v>
      </c>
      <c r="O13" s="99" t="s">
        <v>30</v>
      </c>
    </row>
    <row r="14" spans="1:18" s="5" customFormat="1" ht="18" customHeight="1" thickBot="1" x14ac:dyDescent="0.25">
      <c r="A14" s="42" t="s">
        <v>15</v>
      </c>
      <c r="B14" s="43"/>
      <c r="C14" s="43"/>
      <c r="D14" s="44"/>
      <c r="E14" s="21">
        <f>SUM(E11:E13)</f>
        <v>30919.11</v>
      </c>
      <c r="F14" s="22"/>
      <c r="G14" s="23"/>
      <c r="H14" s="24">
        <f>SUM(H11:H13)</f>
        <v>30919.11</v>
      </c>
      <c r="I14" s="45"/>
      <c r="J14" s="46"/>
      <c r="K14" s="25">
        <f>SUM(K11:K13)</f>
        <v>27833.61</v>
      </c>
      <c r="L14" s="25"/>
      <c r="M14" s="25">
        <f>SUM(M11:M13)</f>
        <v>3085.5</v>
      </c>
      <c r="N14"/>
    </row>
    <row r="15" spans="1:18" s="5" customFormat="1" ht="18" customHeight="1" x14ac:dyDescent="0.2">
      <c r="A15" s="37" t="s">
        <v>16</v>
      </c>
      <c r="B15" s="38"/>
      <c r="C15" s="38"/>
      <c r="D15" s="39"/>
      <c r="E15" s="26">
        <v>1852.22</v>
      </c>
      <c r="F15" s="27"/>
      <c r="G15" s="28"/>
      <c r="H15" s="26">
        <v>1852.22</v>
      </c>
      <c r="I15" s="40"/>
      <c r="J15" s="41"/>
      <c r="K15" s="29">
        <f>K14*0.059905347</f>
        <v>1667.38206531267</v>
      </c>
      <c r="L15" s="29"/>
      <c r="M15" s="29">
        <f>H15-K15</f>
        <v>184.83793468733006</v>
      </c>
      <c r="N15"/>
    </row>
    <row r="16" spans="1:18" s="5" customFormat="1" ht="18" customHeight="1" thickBot="1" x14ac:dyDescent="0.25">
      <c r="A16" s="37" t="s">
        <v>14</v>
      </c>
      <c r="B16" s="38"/>
      <c r="C16" s="38"/>
      <c r="D16" s="39"/>
      <c r="E16" s="30">
        <f>SUM(E14:E15)</f>
        <v>32771.33</v>
      </c>
      <c r="F16" s="31"/>
      <c r="G16" s="32"/>
      <c r="H16" s="30">
        <f>SUM(H14,H15)</f>
        <v>32771.33</v>
      </c>
      <c r="I16" s="35"/>
      <c r="J16" s="36"/>
      <c r="K16" s="33">
        <f>SUM(K14:K15)</f>
        <v>29500.992065312672</v>
      </c>
      <c r="L16" s="33"/>
      <c r="M16" s="33">
        <f>SUM(M14:M15)</f>
        <v>3270.3379346873298</v>
      </c>
      <c r="N16"/>
    </row>
    <row r="17" spans="1:14" ht="12.75" customHeight="1" x14ac:dyDescent="0.2">
      <c r="A17" s="51"/>
      <c r="B17" s="5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9" spans="1:14" x14ac:dyDescent="0.2">
      <c r="B19" s="64" t="s">
        <v>17</v>
      </c>
      <c r="C19" s="65"/>
      <c r="D19" s="66"/>
      <c r="E19" s="70">
        <f>E16</f>
        <v>32771.33</v>
      </c>
    </row>
    <row r="20" spans="1:14" x14ac:dyDescent="0.2">
      <c r="B20" s="67"/>
      <c r="C20" s="68"/>
      <c r="D20" s="69"/>
      <c r="E20" s="71"/>
    </row>
    <row r="22" spans="1:14" x14ac:dyDescent="0.2">
      <c r="B22" s="64" t="s">
        <v>18</v>
      </c>
      <c r="C22" s="65"/>
      <c r="D22" s="66"/>
      <c r="E22" s="70">
        <f>H16</f>
        <v>32771.33</v>
      </c>
    </row>
    <row r="23" spans="1:14" x14ac:dyDescent="0.2">
      <c r="B23" s="67"/>
      <c r="C23" s="68"/>
      <c r="D23" s="69"/>
      <c r="E23" s="71"/>
    </row>
    <row r="25" spans="1:14" x14ac:dyDescent="0.2">
      <c r="B25" s="64" t="s">
        <v>19</v>
      </c>
      <c r="C25" s="65"/>
      <c r="D25" s="66"/>
      <c r="E25" s="70">
        <f>K16</f>
        <v>29500.992065312672</v>
      </c>
    </row>
    <row r="26" spans="1:14" x14ac:dyDescent="0.2">
      <c r="B26" s="67"/>
      <c r="C26" s="68"/>
      <c r="D26" s="69"/>
      <c r="E26" s="71"/>
      <c r="I26" s="8"/>
      <c r="J26" s="8"/>
      <c r="K26" s="8"/>
      <c r="L26" s="8"/>
    </row>
    <row r="27" spans="1:14" x14ac:dyDescent="0.2">
      <c r="I27" s="8"/>
      <c r="J27" s="8"/>
      <c r="K27" s="8"/>
      <c r="L27" s="8"/>
    </row>
    <row r="28" spans="1:14" x14ac:dyDescent="0.2">
      <c r="B28" s="64" t="s">
        <v>20</v>
      </c>
      <c r="C28" s="65"/>
      <c r="D28" s="66"/>
      <c r="E28" s="70">
        <f>M16</f>
        <v>3270.3379346873298</v>
      </c>
    </row>
    <row r="29" spans="1:14" x14ac:dyDescent="0.2">
      <c r="B29" s="67"/>
      <c r="C29" s="68"/>
      <c r="D29" s="69"/>
      <c r="E29" s="81"/>
    </row>
  </sheetData>
  <mergeCells count="33">
    <mergeCell ref="B28:D29"/>
    <mergeCell ref="E28:E29"/>
    <mergeCell ref="B19:D20"/>
    <mergeCell ref="B22:D23"/>
    <mergeCell ref="B25:D26"/>
    <mergeCell ref="E25:E26"/>
    <mergeCell ref="A1:E1"/>
    <mergeCell ref="A2:E2"/>
    <mergeCell ref="A3:E3"/>
    <mergeCell ref="A4:E4"/>
    <mergeCell ref="A5:E5"/>
    <mergeCell ref="E19:E20"/>
    <mergeCell ref="E22:E23"/>
    <mergeCell ref="G4:H5"/>
    <mergeCell ref="A17:B17"/>
    <mergeCell ref="F9:H9"/>
    <mergeCell ref="A9:A10"/>
    <mergeCell ref="A8:O8"/>
    <mergeCell ref="C9:E9"/>
    <mergeCell ref="B9:B10"/>
    <mergeCell ref="A14:D14"/>
    <mergeCell ref="I14:J14"/>
    <mergeCell ref="L9:L10"/>
    <mergeCell ref="O9:O10"/>
    <mergeCell ref="I9:I10"/>
    <mergeCell ref="J9:J10"/>
    <mergeCell ref="K9:K10"/>
    <mergeCell ref="M9:M10"/>
    <mergeCell ref="N9:N10"/>
    <mergeCell ref="A15:D15"/>
    <mergeCell ref="I15:J15"/>
    <mergeCell ref="A16:D16"/>
    <mergeCell ref="I16:J16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2026-03-01T00:28:41Z</dcterms:modified>
  <cp:category/>
  <cp:contentStatus/>
</cp:coreProperties>
</file>