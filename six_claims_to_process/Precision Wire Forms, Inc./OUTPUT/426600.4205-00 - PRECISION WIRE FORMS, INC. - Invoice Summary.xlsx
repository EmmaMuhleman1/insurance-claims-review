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ummary" sheetId="1" state="visible" r:id="rId1"/>
    <sheet xmlns:r="http://schemas.openxmlformats.org/officeDocument/2006/relationships" name="Lookup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$#,##0.00"/>
    <numFmt numFmtId="167" formatCode="$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28" customWidth="1" min="4" max="4"/>
    <col width="32" customWidth="1" min="5" max="5"/>
    <col width="12" customWidth="1" min="6" max="6"/>
    <col width="20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Hours</t>
        </is>
      </c>
      <c r="C1" s="1" t="inlineStr">
        <is>
          <t>Matter Number</t>
        </is>
      </c>
      <c r="D1" s="1" t="inlineStr">
        <is>
          <t>Matter Name</t>
        </is>
      </c>
      <c r="E1" s="1" t="inlineStr">
        <is>
          <t>Activity</t>
        </is>
      </c>
      <c r="F1" s="1" t="inlineStr">
        <is>
          <t>Pay Rate</t>
        </is>
      </c>
      <c r="G1" s="1" t="inlineStr">
        <is>
          <t>Ext Rate (Earnings)</t>
        </is>
      </c>
      <c r="H1" s="1" t="inlineStr">
        <is>
          <t>Consultant</t>
        </is>
      </c>
    </row>
    <row r="2">
      <c r="A2" s="2" t="n">
        <v>46079</v>
      </c>
      <c r="B2" s="3" t="n">
        <v>0.5</v>
      </c>
      <c r="C2" t="inlineStr">
        <is>
          <t>426600.4205-00</t>
        </is>
      </c>
      <c r="D2" t="inlineStr">
        <is>
          <t>Precision Wire Forms, Inc.</t>
        </is>
      </c>
      <c r="E2" t="inlineStr">
        <is>
          <t>File Review &amp; Client Contact</t>
        </is>
      </c>
      <c r="F2" s="4" t="n">
        <v>175</v>
      </c>
      <c r="G2" s="4">
        <f>B2*F2</f>
        <v/>
      </c>
      <c r="H2" t="inlineStr">
        <is>
          <t>Tanner Beuret</t>
        </is>
      </c>
    </row>
    <row r="3">
      <c r="A3" s="2" t="n">
        <v>46079</v>
      </c>
      <c r="B3" s="3" t="n">
        <v>0.5</v>
      </c>
      <c r="C3" t="inlineStr">
        <is>
          <t>426600.4205-00</t>
        </is>
      </c>
      <c r="D3" t="inlineStr">
        <is>
          <t>Precision Wire Forms, Inc.</t>
        </is>
      </c>
      <c r="E3" t="inlineStr">
        <is>
          <t>Insured</t>
        </is>
      </c>
      <c r="F3" s="4" t="n">
        <v>175</v>
      </c>
      <c r="G3" s="4">
        <f>B3*F3</f>
        <v/>
      </c>
      <c r="H3" t="inlineStr">
        <is>
          <t>Tanner Beuret</t>
        </is>
      </c>
    </row>
    <row r="4">
      <c r="A4" s="2" t="n">
        <v>46079</v>
      </c>
      <c r="B4" s="3" t="n">
        <v>0.25</v>
      </c>
      <c r="C4" t="inlineStr">
        <is>
          <t>426600.4205-00</t>
        </is>
      </c>
      <c r="D4" t="inlineStr">
        <is>
          <t>Precision Wire Forms, Inc.</t>
        </is>
      </c>
      <c r="E4" t="inlineStr">
        <is>
          <t>Vendors</t>
        </is>
      </c>
      <c r="F4" s="4" t="n">
        <v>175</v>
      </c>
      <c r="G4" s="4">
        <f>B4*F4</f>
        <v/>
      </c>
      <c r="H4" t="inlineStr">
        <is>
          <t>Tanner Beuret</t>
        </is>
      </c>
    </row>
    <row r="5">
      <c r="A5" s="2" t="n">
        <v>46080</v>
      </c>
      <c r="B5" s="3" t="n">
        <v>0.5</v>
      </c>
      <c r="C5" t="inlineStr">
        <is>
          <t>426600.4205-00</t>
        </is>
      </c>
      <c r="D5" t="inlineStr">
        <is>
          <t>Precision Wire Forms, Inc.</t>
        </is>
      </c>
      <c r="E5" t="inlineStr">
        <is>
          <t>Vendors</t>
        </is>
      </c>
      <c r="F5" s="4" t="n">
        <v>175</v>
      </c>
      <c r="G5" s="4">
        <f>B5*F5</f>
        <v/>
      </c>
      <c r="H5" t="inlineStr">
        <is>
          <t>Tanner Beuret</t>
        </is>
      </c>
    </row>
    <row r="6">
      <c r="A6" s="2" t="n">
        <v>46080</v>
      </c>
      <c r="B6" s="3" t="n">
        <v>0.5</v>
      </c>
      <c r="C6" t="inlineStr">
        <is>
          <t>426600.4205-00</t>
        </is>
      </c>
      <c r="D6" t="inlineStr">
        <is>
          <t>Precision Wire Forms, Inc.</t>
        </is>
      </c>
      <c r="E6" t="inlineStr">
        <is>
          <t>Research &amp; Technical Analysis</t>
        </is>
      </c>
      <c r="F6" s="4" t="n">
        <v>175</v>
      </c>
      <c r="G6" s="4">
        <f>B6*F6</f>
        <v/>
      </c>
      <c r="H6" t="inlineStr">
        <is>
          <t>Tanner Beuret</t>
        </is>
      </c>
    </row>
    <row r="7">
      <c r="A7" s="2" t="n">
        <v>46081</v>
      </c>
      <c r="B7" s="3" t="n">
        <v>1.25</v>
      </c>
      <c r="C7" t="inlineStr">
        <is>
          <t>426600.4205-00</t>
        </is>
      </c>
      <c r="D7" t="inlineStr">
        <is>
          <t>Precision Wire Forms, Inc.</t>
        </is>
      </c>
      <c r="E7" t="inlineStr">
        <is>
          <t>Report &amp; Spreadsheet</t>
        </is>
      </c>
      <c r="F7" s="4" t="n">
        <v>175</v>
      </c>
      <c r="G7" s="4">
        <f>B7*F7</f>
        <v/>
      </c>
      <c r="H7" t="inlineStr">
        <is>
          <t>Tanner Beuret</t>
        </is>
      </c>
    </row>
    <row r="8">
      <c r="A8" s="1" t="inlineStr">
        <is>
          <t>Subtotals</t>
        </is>
      </c>
      <c r="B8" s="5">
        <f>SUM(B2:B7)</f>
        <v/>
      </c>
      <c r="G8" s="6">
        <f>SUM(G2:G7)</f>
        <v/>
      </c>
    </row>
    <row r="10">
      <c r="D10" t="inlineStr">
        <is>
          <t>Mileage</t>
        </is>
      </c>
      <c r="E10" t="n">
        <v>0</v>
      </c>
      <c r="F10" s="7" t="n">
        <v>0.725</v>
      </c>
      <c r="G10" s="4">
        <f>PRODUCT(F10,E10)</f>
        <v/>
      </c>
    </row>
    <row r="12">
      <c r="F12" s="1" t="inlineStr">
        <is>
          <t>Total</t>
        </is>
      </c>
      <c r="G12" s="6">
        <f>G10+G8</f>
        <v/>
      </c>
    </row>
    <row r="15">
      <c r="A15" s="1" t="inlineStr">
        <is>
          <t>Adjuster</t>
        </is>
      </c>
      <c r="C15" s="1" t="inlineStr">
        <is>
          <t>Insured</t>
        </is>
      </c>
      <c r="D15" t="inlineStr">
        <is>
          <t>Precision Wire Forms, Inc.</t>
        </is>
      </c>
    </row>
    <row r="16">
      <c r="A16" t="inlineStr">
        <is>
          <t>Mr. Brad Vifquain</t>
        </is>
      </c>
      <c r="C16" t="inlineStr">
        <is>
          <t>Claim #:</t>
        </is>
      </c>
      <c r="D16" t="inlineStr">
        <is>
          <t>85-00904405</t>
        </is>
      </c>
    </row>
    <row r="17">
      <c r="A17" t="inlineStr">
        <is>
          <t>Hanover Insurance</t>
        </is>
      </c>
      <c r="C17" t="inlineStr">
        <is>
          <t>Budget:</t>
        </is>
      </c>
      <c r="D17" s="4" t="n">
        <v>1050</v>
      </c>
    </row>
    <row r="18">
      <c r="A18" t="inlineStr">
        <is>
          <t>440 Lincoln St</t>
        </is>
      </c>
    </row>
    <row r="19">
      <c r="A19" t="inlineStr">
        <is>
          <t>Worcester, MA 01653</t>
        </is>
      </c>
    </row>
    <row r="20">
      <c r="A20" t="inlineStr">
        <is>
          <t>BVifquain@Hanover.com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DELETE THIS WORK SHEET</t>
        </is>
      </c>
    </row>
    <row r="2">
      <c r="B2" t="inlineStr">
        <is>
          <t>ActivityTypes</t>
        </is>
      </c>
    </row>
    <row r="3">
      <c r="B3" t="inlineStr">
        <is>
          <t>Insured</t>
        </is>
      </c>
    </row>
    <row r="4">
      <c r="B4" t="inlineStr">
        <is>
          <t>Vendors</t>
        </is>
      </c>
    </row>
    <row r="5">
      <c r="B5" t="inlineStr">
        <is>
          <t>Research</t>
        </is>
      </c>
    </row>
    <row r="6">
      <c r="B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2026-03-01T12:05:16Z</dcterms:created>
  <dcterms:modified xmlns:dcterms="http://purl.org/dc/terms/" xmlns:xsi="http://www.w3.org/2001/XMLSchema-instance" xsi:type="dcterms:W3CDTF">2026-03-01T12:05:16Z</dcterms:modified>
</cp:coreProperties>
</file>