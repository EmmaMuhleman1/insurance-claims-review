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ummary" sheetId="1" state="visible" r:id="rId1"/>
    <sheet xmlns:r="http://schemas.openxmlformats.org/officeDocument/2006/relationships" name="Lookup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2" customWidth="1" min="4" max="4"/>
    <col width="32" customWidth="1" min="5" max="5"/>
    <col width="10" customWidth="1" min="6" max="6"/>
    <col width="18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Matter Number</t>
        </is>
      </c>
      <c r="D1" s="1" t="inlineStr">
        <is>
          <t>Matter Name</t>
        </is>
      </c>
      <c r="E1" s="1" t="inlineStr">
        <is>
          <t>Activity</t>
        </is>
      </c>
      <c r="F1" s="1" t="inlineStr">
        <is>
          <t>Pay Rate</t>
        </is>
      </c>
      <c r="G1" s="1" t="inlineStr">
        <is>
          <t>Ext Rate (Earnings)</t>
        </is>
      </c>
      <c r="H1" s="1" t="inlineStr">
        <is>
          <t>Consultant</t>
        </is>
      </c>
    </row>
    <row r="2">
      <c r="A2" t="inlineStr">
        <is>
          <t>10/30/25 - 2/25/26</t>
        </is>
      </c>
      <c r="B2" s="2" t="n">
        <v>2.75</v>
      </c>
      <c r="C2" t="inlineStr">
        <is>
          <t>787200.12612-00</t>
        </is>
      </c>
      <c r="D2" t="inlineStr">
        <is>
          <t>Bay Crane Service</t>
        </is>
      </c>
      <c r="E2" t="inlineStr">
        <is>
          <t>File Review &amp; Client Contact</t>
        </is>
      </c>
      <c r="F2" s="3" t="n">
        <v>175</v>
      </c>
      <c r="G2" s="4">
        <f>B2*F2</f>
        <v/>
      </c>
      <c r="H2" t="inlineStr"/>
    </row>
    <row r="3">
      <c r="A3" t="inlineStr">
        <is>
          <t>10/30/25 - 2/17/26</t>
        </is>
      </c>
      <c r="B3" s="2" t="n">
        <v>3.5</v>
      </c>
      <c r="C3" t="inlineStr">
        <is>
          <t>787200.12612-00</t>
        </is>
      </c>
      <c r="D3" t="inlineStr">
        <is>
          <t>Bay Crane Service</t>
        </is>
      </c>
      <c r="E3" t="inlineStr">
        <is>
          <t>Insured</t>
        </is>
      </c>
      <c r="F3" s="3" t="n">
        <v>175</v>
      </c>
      <c r="G3" s="4">
        <f>B3*F3</f>
        <v/>
      </c>
      <c r="H3" t="inlineStr"/>
    </row>
    <row r="4">
      <c r="A4" t="inlineStr">
        <is>
          <t>1/9/26 - 2/25/26</t>
        </is>
      </c>
      <c r="B4" s="2" t="n">
        <v>1.5</v>
      </c>
      <c r="C4" t="inlineStr">
        <is>
          <t>787200.12612-00</t>
        </is>
      </c>
      <c r="D4" t="inlineStr">
        <is>
          <t>Bay Crane Service</t>
        </is>
      </c>
      <c r="E4" t="inlineStr">
        <is>
          <t>Vendors</t>
        </is>
      </c>
      <c r="F4" s="3" t="n">
        <v>175</v>
      </c>
      <c r="G4" s="4">
        <f>B4*F4</f>
        <v/>
      </c>
      <c r="H4" t="inlineStr"/>
    </row>
    <row r="5">
      <c r="A5" t="inlineStr">
        <is>
          <t>2/25/26 - 3/1/26</t>
        </is>
      </c>
      <c r="B5" s="2" t="n">
        <v>0.5</v>
      </c>
      <c r="C5" t="inlineStr">
        <is>
          <t>787200.12612-00</t>
        </is>
      </c>
      <c r="D5" t="inlineStr">
        <is>
          <t>Bay Crane Service</t>
        </is>
      </c>
      <c r="E5" t="inlineStr">
        <is>
          <t>Research &amp; Technical Analysis</t>
        </is>
      </c>
      <c r="F5" s="3" t="n">
        <v>175</v>
      </c>
      <c r="G5" s="4">
        <f>B5*F5</f>
        <v/>
      </c>
      <c r="H5" t="inlineStr"/>
    </row>
    <row r="6">
      <c r="A6" t="inlineStr">
        <is>
          <t>3/1/26</t>
        </is>
      </c>
      <c r="B6" s="2" t="n">
        <v>1.5</v>
      </c>
      <c r="C6" t="inlineStr">
        <is>
          <t>787200.12612-00</t>
        </is>
      </c>
      <c r="D6" t="inlineStr">
        <is>
          <t>Bay Crane Service</t>
        </is>
      </c>
      <c r="E6" t="inlineStr">
        <is>
          <t>Report &amp; Spreadsheet</t>
        </is>
      </c>
      <c r="F6" s="3" t="n">
        <v>175</v>
      </c>
      <c r="G6" s="4">
        <f>B6*F6</f>
        <v/>
      </c>
      <c r="H6" t="inlineStr"/>
    </row>
    <row r="7">
      <c r="B7" t="n">
        <v>0</v>
      </c>
      <c r="C7" t="inlineStr">
        <is>
          <t>787200.12612-00</t>
        </is>
      </c>
      <c r="D7" t="inlineStr">
        <is>
          <t>Bay Crane Service</t>
        </is>
      </c>
      <c r="F7" t="n">
        <v>175</v>
      </c>
      <c r="G7" s="4">
        <f>B7*F7</f>
        <v/>
      </c>
    </row>
    <row r="8">
      <c r="B8" t="n">
        <v>0</v>
      </c>
      <c r="C8" t="inlineStr">
        <is>
          <t>787200.12612-00</t>
        </is>
      </c>
      <c r="D8" t="inlineStr">
        <is>
          <t>Bay Crane Service</t>
        </is>
      </c>
      <c r="F8" t="n">
        <v>175</v>
      </c>
      <c r="G8" s="4">
        <f>B8*F8</f>
        <v/>
      </c>
    </row>
    <row r="9">
      <c r="B9" t="n">
        <v>0</v>
      </c>
      <c r="C9" t="inlineStr">
        <is>
          <t>787200.12612-00</t>
        </is>
      </c>
      <c r="D9" t="inlineStr">
        <is>
          <t>Bay Crane Service</t>
        </is>
      </c>
      <c r="F9" t="n">
        <v>175</v>
      </c>
      <c r="G9" s="4">
        <f>B9*F9</f>
        <v/>
      </c>
    </row>
    <row r="10">
      <c r="B10" t="n">
        <v>0</v>
      </c>
      <c r="C10" t="inlineStr">
        <is>
          <t>787200.12612-00</t>
        </is>
      </c>
      <c r="D10" t="inlineStr">
        <is>
          <t>Bay Crane Service</t>
        </is>
      </c>
      <c r="F10" t="n">
        <v>175</v>
      </c>
      <c r="G10" s="4">
        <f>B10*F10</f>
        <v/>
      </c>
    </row>
    <row r="11">
      <c r="B11" t="n">
        <v>0</v>
      </c>
      <c r="C11" t="inlineStr">
        <is>
          <t>787200.12612-00</t>
        </is>
      </c>
      <c r="D11" t="inlineStr">
        <is>
          <t>Bay Crane Service</t>
        </is>
      </c>
      <c r="F11" t="n">
        <v>175</v>
      </c>
      <c r="G11" s="4">
        <f>B11*F11</f>
        <v/>
      </c>
    </row>
    <row r="12">
      <c r="B12" t="n">
        <v>0</v>
      </c>
      <c r="C12" t="inlineStr">
        <is>
          <t>787200.12612-00</t>
        </is>
      </c>
      <c r="D12" t="inlineStr">
        <is>
          <t>Bay Crane Service</t>
        </is>
      </c>
      <c r="F12" t="n">
        <v>175</v>
      </c>
      <c r="G12" s="4">
        <f>B12*F12</f>
        <v/>
      </c>
    </row>
    <row r="13">
      <c r="B13" t="n">
        <v>0</v>
      </c>
      <c r="C13" t="inlineStr">
        <is>
          <t>787200.12612-00</t>
        </is>
      </c>
      <c r="D13" t="inlineStr">
        <is>
          <t>Bay Crane Service</t>
        </is>
      </c>
      <c r="F13" t="n">
        <v>175</v>
      </c>
      <c r="G13" s="4">
        <f>B13*F13</f>
        <v/>
      </c>
    </row>
    <row r="14">
      <c r="B14" t="n">
        <v>0</v>
      </c>
      <c r="C14" t="inlineStr">
        <is>
          <t>787200.12612-00</t>
        </is>
      </c>
      <c r="D14" t="inlineStr">
        <is>
          <t>Bay Crane Service</t>
        </is>
      </c>
      <c r="F14" t="n">
        <v>175</v>
      </c>
      <c r="G14" s="4">
        <f>B14*F14</f>
        <v/>
      </c>
    </row>
    <row r="15">
      <c r="A15" s="1" t="inlineStr">
        <is>
          <t>Subtotals</t>
        </is>
      </c>
      <c r="B15" s="2">
        <f>SUM(B2:B14)</f>
        <v/>
      </c>
      <c r="G15" s="5">
        <f>SUM(G2:G14)</f>
        <v/>
      </c>
    </row>
    <row r="17">
      <c r="D17" t="inlineStr">
        <is>
          <t>Mileage</t>
        </is>
      </c>
      <c r="E17" t="n">
        <v>0</v>
      </c>
      <c r="F17" t="n">
        <v>0.7</v>
      </c>
      <c r="G17" s="4">
        <f>PRODUCT(F17,E17)</f>
        <v/>
      </c>
    </row>
    <row r="18">
      <c r="C18" t="inlineStr">
        <is>
          <t>as of 3/1/26</t>
        </is>
      </c>
    </row>
    <row r="19">
      <c r="F19" s="1" t="inlineStr">
        <is>
          <t>Total</t>
        </is>
      </c>
      <c r="G19" s="5">
        <f>G17+G15</f>
        <v/>
      </c>
    </row>
    <row r="21">
      <c r="A21" s="1" t="inlineStr">
        <is>
          <t>Adjuster</t>
        </is>
      </c>
      <c r="C21" s="1" t="inlineStr">
        <is>
          <t>Insured</t>
        </is>
      </c>
      <c r="D21" t="inlineStr">
        <is>
          <t>Bay Crane Service</t>
        </is>
      </c>
    </row>
    <row r="22">
      <c r="A22" t="inlineStr">
        <is>
          <t>Mr. Christian Lombardo</t>
        </is>
      </c>
      <c r="C22" t="inlineStr">
        <is>
          <t>Claim #:</t>
        </is>
      </c>
      <c r="D22" t="inlineStr">
        <is>
          <t>F2X5818</t>
        </is>
      </c>
    </row>
    <row r="23">
      <c r="A23" t="inlineStr">
        <is>
          <t>Travelers Insurance</t>
        </is>
      </c>
      <c r="C23" t="inlineStr">
        <is>
          <t>Budget:</t>
        </is>
      </c>
      <c r="D23" t="n">
        <v>0</v>
      </c>
    </row>
    <row r="24">
      <c r="A24" t="inlineStr">
        <is>
          <t>PO Box 430</t>
        </is>
      </c>
    </row>
    <row r="25">
      <c r="A25" t="inlineStr">
        <is>
          <t>Buffalo, NY 14240-0430</t>
        </is>
      </c>
    </row>
    <row r="26">
      <c r="A26" t="inlineStr">
        <is>
          <t>CNLOMBAR@travelers.com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DELETE THIS WORK SHEET</t>
        </is>
      </c>
    </row>
    <row r="2">
      <c r="B2" t="inlineStr">
        <is>
          <t>ActivityTypes</t>
        </is>
      </c>
    </row>
    <row r="3">
      <c r="B3" t="inlineStr">
        <is>
          <t>Insured</t>
        </is>
      </c>
    </row>
    <row r="4">
      <c r="B4" t="inlineStr">
        <is>
          <t>Vendors</t>
        </is>
      </c>
    </row>
    <row r="5">
      <c r="B5" t="inlineStr">
        <is>
          <t>Research</t>
        </is>
      </c>
    </row>
    <row r="6">
      <c r="B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2026-03-01T12:05:12Z</dcterms:created>
  <dcterms:modified xmlns:dcterms="http://purl.org/dc/terms/" xmlns:xsi="http://www.w3.org/2001/XMLSchema-instance" xsi:type="dcterms:W3CDTF">2026-03-01T12:05:12Z</dcterms:modified>
</cp:coreProperties>
</file>