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Bay Crane Service 2 (Repair transformer)/"/>
    </mc:Choice>
  </mc:AlternateContent>
  <xr:revisionPtr revIDLastSave="0" documentId="13_ncr:1_{881D3742-271B-3E40-8AE9-6DD5BD72931C}" xr6:coauthVersionLast="47" xr6:coauthVersionMax="47" xr10:uidLastSave="{00000000-0000-0000-0000-000000000000}"/>
  <bookViews>
    <workbookView xWindow="4260" yWindow="278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20" i="1"/>
  <c r="K20" i="1" s="1"/>
  <c r="E11" i="1"/>
  <c r="K11" i="1" l="1"/>
  <c r="E12" i="1" l="1"/>
  <c r="E14" i="1" s="1"/>
  <c r="E20" i="1"/>
  <c r="H21" i="1" l="1"/>
  <c r="H23" i="1" s="1"/>
  <c r="H12" i="1"/>
  <c r="H14" i="1" s="1"/>
  <c r="E21" i="1"/>
  <c r="E23" i="1" s="1"/>
  <c r="E26" i="1" s="1"/>
  <c r="K12" i="1"/>
  <c r="K14" i="1" s="1"/>
  <c r="E29" i="1" l="1"/>
  <c r="K21" i="1"/>
  <c r="K23" i="1" s="1"/>
  <c r="E32" i="1" s="1"/>
  <c r="M20" i="1"/>
  <c r="M21" i="1" s="1"/>
  <c r="M23" i="1" s="1"/>
  <c r="M11" i="1"/>
  <c r="M12" i="1" s="1"/>
  <c r="M14" i="1" s="1"/>
  <c r="E35" i="1" l="1"/>
</calcChain>
</file>

<file path=xl/sharedStrings.xml><?xml version="1.0" encoding="utf-8"?>
<sst xmlns="http://schemas.openxmlformats.org/spreadsheetml/2006/main" count="61" uniqueCount="32">
  <si>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</si>
  <si>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</si>
  <si>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</si>
  <si>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</si>
  <si>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</si>
  <si>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</si>
  <si>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</si>
  <si>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</si>
  <si>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</si>
  <si>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</si>
  <si>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</si>
  <si>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</si>
  <si>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</si>
  <si>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</si>
  <si>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</si>
  <si>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</si>
  <si>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</si>
  <si>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</si>
  <si>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</si>
  <si>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</si>
  <si>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BAY CRANE SERVICE</t>
  </si>
  <si>
    <t xml:space="preserve">LSG MATTER #: 787200.12612-00 </t>
  </si>
  <si>
    <t>CLAIM #: F2X5818</t>
  </si>
  <si>
    <t>DATE OF LOSS: 7/25/2025</t>
  </si>
  <si>
    <t>CAUSE OF LOSS: FALLEN OBJECT / IMPACT</t>
  </si>
  <si>
    <t>EATON CORPORATION (800-386-1911) PROPOSAL # NA04-250730-02-BM-REV1</t>
  </si>
  <si>
    <t>SUFFOLK CONSTRUCTION COMPANY INC. (617-445-3500) CHANGE ORDER NO B20-029</t>
  </si>
  <si>
    <t>ADDITIONAL NETA TESTING</t>
  </si>
  <si>
    <t>N/A</t>
  </si>
  <si>
    <t xml:space="preserve">ADDITIONAL NETA TESTING FOR QUALITY ASSURANCE AND QUALITY CONTROL. </t>
  </si>
  <si>
    <t>REPAIR TO THE DAMAGED RADIATOR ON ONE (1) COOPER POWER TRANSFORMER</t>
  </si>
  <si>
    <t xml:space="preserve">REPAIR TO THE DAMAGED RADIATOR ON ONE (1) COOPER POWER TRANSFORMER. (TWO (2) COOPER POWER SYSTEMS 22-PAN DEMOUNT 20.5W RADIATOR AND TWO (2) FIFTY FIVE (55) GALLON DRUBS OF FR3 TRANSFORMER OIL) PLUS OTHER MATERIALS, EQUIPMENT, AND LABOR HOURS.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</si>
</sst>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79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left" wrapText="1"/>
    </xf>
    <xf numFmtId="0" fontId="7" fillId="2" borderId="17" xfId="0" applyFont="1" applyFill="1" applyBorder="1" applyAlignment="1">
      <alignment horizontal="center"/>
    </xf>
    <xf numFmtId="44" fontId="7" fillId="2" borderId="17" xfId="1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/>
    </xf>
    <xf numFmtId="9" fontId="7" fillId="2" borderId="17" xfId="6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6"/>
  <sheetViews>
    <sheetView tabSelected="1" zoomScale="80" zoomScaleNormal="80" zoomScalePageLayoutView="90" workbookViewId="0">
      <selection activeCell="K5" sqref="K5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9" width="12.33203125" style="3" customWidth="1"/>
    <col min="20" max="16384" width="8.83203125" style="3"/>
  </cols>
  <sheetData>
    <row r="1" spans="1:20" ht="15.75" customHeight="1" x14ac:dyDescent="0.2">
      <c r="A1" s="49" t="s">
        <v>20</v>
      </c>
      <c r="B1" s="50"/>
      <c r="C1" s="50"/>
      <c r="D1" s="50"/>
      <c r="E1" s="51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20" ht="15.75" customHeight="1" x14ac:dyDescent="0.2">
      <c r="A2" s="52" t="s">
        <v>21</v>
      </c>
      <c r="B2" s="53"/>
      <c r="C2" s="53"/>
      <c r="D2" s="53"/>
      <c r="E2" s="54"/>
      <c r="F2" s="1"/>
      <c r="G2"/>
      <c r="H2"/>
      <c r="I2"/>
      <c r="J2" s="1"/>
      <c r="K2" s="1"/>
      <c r="M2" s="1"/>
      <c r="N2" s="1"/>
      <c r="O2" s="2"/>
      <c r="P2" s="2"/>
    </row>
    <row r="3" spans="1:20" ht="15.75" customHeight="1" x14ac:dyDescent="0.2">
      <c r="A3" s="52" t="s">
        <v>22</v>
      </c>
      <c r="B3" s="53"/>
      <c r="C3" s="53"/>
      <c r="D3" s="53"/>
      <c r="E3" s="54"/>
      <c r="F3" s="1"/>
      <c r="G3"/>
      <c r="H3"/>
      <c r="I3"/>
      <c r="J3"/>
      <c r="K3" s="1"/>
      <c r="L3"/>
      <c r="M3" s="1"/>
      <c r="N3" s="1"/>
      <c r="O3" s="5"/>
      <c r="P3" s="5"/>
    </row>
    <row r="4" spans="1:20" ht="15.75" customHeight="1" x14ac:dyDescent="0.2">
      <c r="A4" s="52" t="s">
        <v>23</v>
      </c>
      <c r="B4" s="53"/>
      <c r="C4" s="53"/>
      <c r="D4" s="53"/>
      <c r="E4" s="54"/>
      <c r="F4" s="6"/>
      <c r="G4"/>
      <c r="H4"/>
      <c r="I4"/>
      <c r="J4"/>
      <c r="K4" s="7"/>
      <c r="L4" s="1"/>
      <c r="O4" s="3"/>
    </row>
    <row r="5" spans="1:20" ht="15.75" customHeight="1" thickBot="1" x14ac:dyDescent="0.25">
      <c r="A5" s="55" t="s">
        <v>24</v>
      </c>
      <c r="B5" s="56"/>
      <c r="C5" s="56"/>
      <c r="D5" s="56"/>
      <c r="E5" s="57"/>
      <c r="F5" s="1"/>
      <c r="G5"/>
      <c r="H5"/>
      <c r="I5"/>
      <c r="J5"/>
      <c r="K5" s="1"/>
      <c r="L5" s="1"/>
      <c r="O5" s="3"/>
    </row>
    <row r="8" spans="1:20" s="9" customFormat="1" ht="25.5" customHeight="1" x14ac:dyDescent="0.15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</row>
    <row r="9" spans="1:20" ht="24" customHeight="1" x14ac:dyDescent="0.2">
      <c r="A9" s="39" t="s">
        <v>0</v>
      </c>
      <c r="B9" s="41" t="s">
        <v>1</v>
      </c>
      <c r="C9" s="43" t="s">
        <v>2</v>
      </c>
      <c r="D9" s="44"/>
      <c r="E9" s="45"/>
      <c r="F9" s="43" t="s">
        <v>3</v>
      </c>
      <c r="G9" s="44"/>
      <c r="H9" s="45"/>
      <c r="I9" s="46" t="s">
        <v>4</v>
      </c>
      <c r="J9" s="46" t="s">
        <v>5</v>
      </c>
      <c r="K9" s="46" t="s">
        <v>6</v>
      </c>
      <c r="L9" s="46" t="s">
        <v>7</v>
      </c>
      <c r="M9" s="46" t="s">
        <v>8</v>
      </c>
      <c r="N9" s="46" t="s">
        <v>9</v>
      </c>
      <c r="O9" s="39" t="s">
        <v>10</v>
      </c>
    </row>
    <row r="10" spans="1:20" s="4" customFormat="1" ht="24" customHeight="1" thickBot="1" x14ac:dyDescent="0.25">
      <c r="A10" s="40"/>
      <c r="B10" s="42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47"/>
      <c r="J10" s="47"/>
      <c r="K10" s="47"/>
      <c r="L10" s="47"/>
      <c r="M10" s="47"/>
      <c r="N10" s="47"/>
      <c r="O10" s="40"/>
    </row>
    <row r="11" spans="1:20" s="4" customFormat="1" ht="139" customHeight="1" thickBot="1" x14ac:dyDescent="0.25">
      <c r="A11" s="71">
        <v>1</v>
      </c>
      <c r="B11" s="72" t="s">
        <v>30</v>
      </c>
      <c r="C11" s="73">
        <v>1</v>
      </c>
      <c r="D11" s="74">
        <v>138209.41</v>
      </c>
      <c r="E11" s="74">
        <f>C11*D11</f>
        <v>138209.41</v>
      </c>
      <c r="F11" s="73">
        <v>1</v>
      </c>
      <c r="G11" s="74">
        <v>138209.41</v>
      </c>
      <c r="H11" s="74">
        <f t="shared" ref="H11" si="0">F11*G11</f>
        <v>138209.41</v>
      </c>
      <c r="I11" s="75" t="s">
        <v>28</v>
      </c>
      <c r="J11" s="75" t="s">
        <v>28</v>
      </c>
      <c r="K11" s="74">
        <f>H11*(1-L11)</f>
        <v>138209.41</v>
      </c>
      <c r="L11" s="76">
        <v>0</v>
      </c>
      <c r="M11" s="74">
        <f>H11-K11</f>
        <v>0</v>
      </c>
      <c r="N11" s="77" t="s">
        <v>28</v>
      </c>
      <c r="O11" s="78" t="s">
        <v>31</v>
      </c>
      <c r="R11" s="27"/>
    </row>
    <row r="12" spans="1:20" s="4" customFormat="1" ht="18" customHeight="1" thickBot="1" x14ac:dyDescent="0.25">
      <c r="A12" s="62" t="s">
        <v>14</v>
      </c>
      <c r="B12" s="63"/>
      <c r="C12" s="63"/>
      <c r="D12" s="64"/>
      <c r="E12" s="13">
        <f>SUM(E11:E11)</f>
        <v>138209.41</v>
      </c>
      <c r="F12" s="14"/>
      <c r="G12" s="15"/>
      <c r="H12" s="16">
        <f>SUM(H11:H11)</f>
        <v>138209.41</v>
      </c>
      <c r="I12" s="65"/>
      <c r="J12" s="66"/>
      <c r="K12" s="17">
        <f>SUM(K11:K11)</f>
        <v>138209.41</v>
      </c>
      <c r="L12" s="17"/>
      <c r="M12" s="17">
        <f>SUM(M11:M11)</f>
        <v>0</v>
      </c>
      <c r="N12"/>
      <c r="P12"/>
      <c r="Q12"/>
      <c r="R12"/>
      <c r="S12"/>
      <c r="T12"/>
    </row>
    <row r="13" spans="1:20" s="4" customFormat="1" ht="18" customHeight="1" thickBot="1" x14ac:dyDescent="0.25">
      <c r="A13" s="58" t="s">
        <v>15</v>
      </c>
      <c r="B13" s="59"/>
      <c r="C13" s="59"/>
      <c r="D13" s="60"/>
      <c r="E13" s="18">
        <v>0</v>
      </c>
      <c r="F13" s="19"/>
      <c r="G13" s="20"/>
      <c r="H13" s="18">
        <v>0</v>
      </c>
      <c r="I13" s="69"/>
      <c r="J13" s="70"/>
      <c r="K13" s="21">
        <v>0</v>
      </c>
      <c r="L13" s="21"/>
      <c r="M13" s="21">
        <v>0</v>
      </c>
      <c r="N13"/>
      <c r="P13"/>
      <c r="Q13"/>
      <c r="R13"/>
      <c r="S13"/>
      <c r="T13"/>
    </row>
    <row r="14" spans="1:20" s="4" customFormat="1" ht="18" customHeight="1" thickBot="1" x14ac:dyDescent="0.25">
      <c r="A14" s="58" t="s">
        <v>13</v>
      </c>
      <c r="B14" s="59"/>
      <c r="C14" s="59"/>
      <c r="D14" s="60"/>
      <c r="E14" s="22">
        <f>SUM(E12:E13)</f>
        <v>138209.41</v>
      </c>
      <c r="F14" s="23"/>
      <c r="G14" s="24"/>
      <c r="H14" s="22">
        <f>SUM(H12,H13)</f>
        <v>138209.41</v>
      </c>
      <c r="I14" s="67"/>
      <c r="J14" s="68"/>
      <c r="K14" s="25">
        <f>SUM(K12:K13)</f>
        <v>138209.41</v>
      </c>
      <c r="L14" s="25"/>
      <c r="M14" s="25">
        <f>SUM(M12:M13)</f>
        <v>0</v>
      </c>
      <c r="N14"/>
      <c r="P14"/>
      <c r="Q14"/>
      <c r="R14"/>
      <c r="S14"/>
      <c r="T14"/>
    </row>
    <row r="15" spans="1:20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/>
      <c r="O15" s="2"/>
      <c r="P15"/>
      <c r="Q15"/>
      <c r="R15"/>
      <c r="S15"/>
      <c r="T15"/>
    </row>
    <row r="16" spans="1:20" ht="12.75" customHeight="1" thickBo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26"/>
      <c r="P16"/>
      <c r="Q16"/>
      <c r="R16"/>
      <c r="S16"/>
      <c r="T16"/>
    </row>
    <row r="17" spans="1:20" s="9" customFormat="1" ht="25.5" customHeight="1" thickBot="1" x14ac:dyDescent="0.2">
      <c r="A17" s="36" t="s">
        <v>26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  <c r="P17"/>
      <c r="Q17"/>
      <c r="R17"/>
      <c r="S17"/>
      <c r="T17"/>
    </row>
    <row r="18" spans="1:20" ht="24" customHeight="1" thickBot="1" x14ac:dyDescent="0.25">
      <c r="A18" s="39" t="s">
        <v>0</v>
      </c>
      <c r="B18" s="41" t="s">
        <v>1</v>
      </c>
      <c r="C18" s="43" t="s">
        <v>2</v>
      </c>
      <c r="D18" s="44"/>
      <c r="E18" s="45"/>
      <c r="F18" s="43" t="s">
        <v>3</v>
      </c>
      <c r="G18" s="44"/>
      <c r="H18" s="45"/>
      <c r="I18" s="46" t="s">
        <v>4</v>
      </c>
      <c r="J18" s="46" t="s">
        <v>5</v>
      </c>
      <c r="K18" s="46" t="s">
        <v>6</v>
      </c>
      <c r="L18" s="46" t="s">
        <v>7</v>
      </c>
      <c r="M18" s="46" t="s">
        <v>8</v>
      </c>
      <c r="N18" s="46" t="s">
        <v>9</v>
      </c>
      <c r="O18" s="39" t="s">
        <v>10</v>
      </c>
      <c r="P18"/>
      <c r="Q18"/>
      <c r="R18"/>
      <c r="S18"/>
      <c r="T18"/>
    </row>
    <row r="19" spans="1:20" ht="24" customHeight="1" thickBot="1" x14ac:dyDescent="0.25">
      <c r="A19" s="40"/>
      <c r="B19" s="42"/>
      <c r="C19" s="11" t="s">
        <v>11</v>
      </c>
      <c r="D19" s="10" t="s">
        <v>12</v>
      </c>
      <c r="E19" s="12" t="s">
        <v>13</v>
      </c>
      <c r="F19" s="12" t="s">
        <v>11</v>
      </c>
      <c r="G19" s="12" t="s">
        <v>12</v>
      </c>
      <c r="H19" s="12" t="s">
        <v>13</v>
      </c>
      <c r="I19" s="47"/>
      <c r="J19" s="47"/>
      <c r="K19" s="47"/>
      <c r="L19" s="47"/>
      <c r="M19" s="47"/>
      <c r="N19" s="47"/>
      <c r="O19" s="40"/>
      <c r="P19"/>
      <c r="Q19"/>
      <c r="R19"/>
      <c r="S19"/>
      <c r="T19"/>
    </row>
    <row r="20" spans="1:20" ht="74" customHeight="1" thickBot="1" x14ac:dyDescent="0.25">
      <c r="A20" s="71">
        <v>1</v>
      </c>
      <c r="B20" s="72" t="s">
        <v>27</v>
      </c>
      <c r="C20" s="73">
        <v>1</v>
      </c>
      <c r="D20" s="74">
        <v>5927.93</v>
      </c>
      <c r="E20" s="74">
        <f t="shared" ref="E20" si="1">C20*D20</f>
        <v>5927.93</v>
      </c>
      <c r="F20" s="73">
        <v>1</v>
      </c>
      <c r="G20" s="74">
        <v>5927.93</v>
      </c>
      <c r="H20" s="74">
        <f t="shared" ref="H20" si="2">F20*G20</f>
        <v>5927.93</v>
      </c>
      <c r="I20" s="75" t="s">
        <v>28</v>
      </c>
      <c r="J20" s="75" t="s">
        <v>28</v>
      </c>
      <c r="K20" s="74">
        <f>H20*(1-L20)</f>
        <v>5927.93</v>
      </c>
      <c r="L20" s="76">
        <v>0</v>
      </c>
      <c r="M20" s="74">
        <f>H20-K20</f>
        <v>0</v>
      </c>
      <c r="N20" s="77" t="s">
        <v>28</v>
      </c>
      <c r="O20" s="78" t="s">
        <v>29</v>
      </c>
      <c r="P20"/>
      <c r="Q20"/>
      <c r="R20"/>
      <c r="S20"/>
      <c r="T20"/>
    </row>
    <row r="21" spans="1:20" s="4" customFormat="1" ht="18" customHeight="1" thickBot="1" x14ac:dyDescent="0.25">
      <c r="A21" s="62" t="s">
        <v>14</v>
      </c>
      <c r="B21" s="63"/>
      <c r="C21" s="63"/>
      <c r="D21" s="64"/>
      <c r="E21" s="13">
        <f>SUM(E20:E20)</f>
        <v>5927.93</v>
      </c>
      <c r="F21" s="14"/>
      <c r="G21" s="15"/>
      <c r="H21" s="16">
        <f>SUM(H20:H20)</f>
        <v>5927.93</v>
      </c>
      <c r="I21" s="65"/>
      <c r="J21" s="66"/>
      <c r="K21" s="17">
        <f>SUM(K20:K20)</f>
        <v>5927.93</v>
      </c>
      <c r="L21" s="17"/>
      <c r="M21" s="17">
        <f>SUM(M20:M20)</f>
        <v>0</v>
      </c>
      <c r="N21"/>
    </row>
    <row r="22" spans="1:20" s="4" customFormat="1" ht="18" customHeight="1" x14ac:dyDescent="0.2">
      <c r="A22" s="58" t="s">
        <v>15</v>
      </c>
      <c r="B22" s="59"/>
      <c r="C22" s="59"/>
      <c r="D22" s="60"/>
      <c r="E22" s="18">
        <v>520.95000000000005</v>
      </c>
      <c r="F22" s="19"/>
      <c r="G22" s="20"/>
      <c r="H22" s="18">
        <v>520.95000000000005</v>
      </c>
      <c r="I22" s="69"/>
      <c r="J22" s="70"/>
      <c r="K22" s="21">
        <v>0</v>
      </c>
      <c r="L22" s="21"/>
      <c r="M22" s="21">
        <v>0</v>
      </c>
      <c r="N22"/>
    </row>
    <row r="23" spans="1:20" s="4" customFormat="1" ht="18" customHeight="1" x14ac:dyDescent="0.2">
      <c r="A23" s="58" t="s">
        <v>13</v>
      </c>
      <c r="B23" s="59"/>
      <c r="C23" s="59"/>
      <c r="D23" s="60"/>
      <c r="E23" s="22">
        <f>SUM(E21:E22)</f>
        <v>6448.88</v>
      </c>
      <c r="F23" s="23"/>
      <c r="G23" s="24"/>
      <c r="H23" s="22">
        <f>SUM(H21,H22)</f>
        <v>6448.88</v>
      </c>
      <c r="I23" s="67"/>
      <c r="J23" s="68"/>
      <c r="K23" s="25">
        <f>SUM(K21:K22)</f>
        <v>5927.93</v>
      </c>
      <c r="L23" s="25"/>
      <c r="M23" s="25">
        <f>SUM(M21:M22)</f>
        <v>0</v>
      </c>
      <c r="N23"/>
    </row>
    <row r="24" spans="1:20" ht="12.75" customHeight="1" x14ac:dyDescent="0.2">
      <c r="A24" s="61"/>
      <c r="B24" s="6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6" spans="1:20" x14ac:dyDescent="0.2">
      <c r="B26" s="28" t="s">
        <v>16</v>
      </c>
      <c r="C26" s="29"/>
      <c r="D26" s="30"/>
      <c r="E26" s="34">
        <f>E23+E14</f>
        <v>144658.29</v>
      </c>
    </row>
    <row r="27" spans="1:20" x14ac:dyDescent="0.2">
      <c r="B27" s="31"/>
      <c r="C27" s="32"/>
      <c r="D27" s="33"/>
      <c r="E27" s="48"/>
    </row>
    <row r="29" spans="1:20" x14ac:dyDescent="0.2">
      <c r="B29" s="28" t="s">
        <v>17</v>
      </c>
      <c r="C29" s="29"/>
      <c r="D29" s="30"/>
      <c r="E29" s="34">
        <f>H23+H14</f>
        <v>144658.29</v>
      </c>
    </row>
    <row r="30" spans="1:20" x14ac:dyDescent="0.2">
      <c r="B30" s="31"/>
      <c r="C30" s="32"/>
      <c r="D30" s="33"/>
      <c r="E30" s="48"/>
    </row>
    <row r="32" spans="1:20" x14ac:dyDescent="0.2">
      <c r="B32" s="28" t="s">
        <v>18</v>
      </c>
      <c r="C32" s="29"/>
      <c r="D32" s="30"/>
      <c r="E32" s="34">
        <f>K23+K14</f>
        <v>144137.34</v>
      </c>
    </row>
    <row r="33" spans="2:12" x14ac:dyDescent="0.2">
      <c r="B33" s="31"/>
      <c r="C33" s="32"/>
      <c r="D33" s="33"/>
      <c r="E33" s="48"/>
      <c r="I33" s="7"/>
      <c r="J33" s="7"/>
      <c r="K33" s="7"/>
      <c r="L33" s="7"/>
    </row>
    <row r="34" spans="2:12" x14ac:dyDescent="0.2">
      <c r="I34" s="7"/>
      <c r="J34" s="7"/>
      <c r="K34" s="7"/>
      <c r="L34" s="7"/>
    </row>
    <row r="35" spans="2:12" x14ac:dyDescent="0.2">
      <c r="B35" s="28" t="s">
        <v>19</v>
      </c>
      <c r="C35" s="29"/>
      <c r="D35" s="30"/>
      <c r="E35" s="34">
        <f>M23+M14</f>
        <v>0</v>
      </c>
    </row>
    <row r="36" spans="2:12" x14ac:dyDescent="0.2">
      <c r="B36" s="31"/>
      <c r="C36" s="32"/>
      <c r="D36" s="33"/>
      <c r="E36" s="35"/>
    </row>
  </sheetData>
  <mergeCells count="50">
    <mergeCell ref="I23:J23"/>
    <mergeCell ref="A13:D13"/>
    <mergeCell ref="I13:J13"/>
    <mergeCell ref="A14:D14"/>
    <mergeCell ref="I14:J14"/>
    <mergeCell ref="A21:D21"/>
    <mergeCell ref="I21:J21"/>
    <mergeCell ref="I22:J22"/>
    <mergeCell ref="A8:O8"/>
    <mergeCell ref="C9:E9"/>
    <mergeCell ref="B9:B10"/>
    <mergeCell ref="A12:D12"/>
    <mergeCell ref="I12:J12"/>
    <mergeCell ref="L9:L10"/>
    <mergeCell ref="O9:O10"/>
    <mergeCell ref="I9:I10"/>
    <mergeCell ref="J9:J10"/>
    <mergeCell ref="K9:K10"/>
    <mergeCell ref="M9:M10"/>
    <mergeCell ref="N9:N10"/>
    <mergeCell ref="O18:O19"/>
    <mergeCell ref="B32:D33"/>
    <mergeCell ref="E32:E33"/>
    <mergeCell ref="A1:E1"/>
    <mergeCell ref="A2:E2"/>
    <mergeCell ref="A3:E3"/>
    <mergeCell ref="A4:E4"/>
    <mergeCell ref="A5:E5"/>
    <mergeCell ref="E26:E27"/>
    <mergeCell ref="E29:E30"/>
    <mergeCell ref="A22:D22"/>
    <mergeCell ref="A23:D23"/>
    <mergeCell ref="A24:B24"/>
    <mergeCell ref="F9:H9"/>
    <mergeCell ref="A9:A10"/>
    <mergeCell ref="B35:D36"/>
    <mergeCell ref="E35:E36"/>
    <mergeCell ref="B26:D27"/>
    <mergeCell ref="B29:D30"/>
    <mergeCell ref="A17:O17"/>
    <mergeCell ref="A18:A19"/>
    <mergeCell ref="B18:B19"/>
    <mergeCell ref="C18:E18"/>
    <mergeCell ref="F18:H18"/>
    <mergeCell ref="I18:I19"/>
    <mergeCell ref="J18:J19"/>
    <mergeCell ref="K18:K19"/>
    <mergeCell ref="L18:L19"/>
    <mergeCell ref="M18:M19"/>
    <mergeCell ref="N18:N19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2026-03-01T00:24:39Z</dcterms:modified>
  <cp:category/>
  <cp:contentStatus/>
</cp:coreProperties>
</file>