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Pasteur Plaza Surgery Center/"/>
    </mc:Choice>
  </mc:AlternateContent>
  <xr:revisionPtr revIDLastSave="0" documentId="13_ncr:1_{33DC4E51-D29B-0646-8774-CF2A60D9EE23}" xr6:coauthVersionLast="47" xr6:coauthVersionMax="47" xr10:uidLastSave="{00000000-0000-0000-0000-000000000000}"/>
  <bookViews>
    <workbookView xWindow="4420" yWindow="19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1" i="1" l="1"/>
  <c r="E28" i="1"/>
  <c r="E25" i="1"/>
  <c r="E22" i="1"/>
  <c r="I12" i="1"/>
  <c r="L12" i="1" s="1"/>
  <c r="H11" i="1"/>
  <c r="L13" i="1"/>
  <c r="E13" i="1"/>
  <c r="H13" i="1"/>
  <c r="E14" i="1"/>
  <c r="H14" i="1"/>
  <c r="E15" i="1"/>
  <c r="H15" i="1"/>
  <c r="E16" i="1"/>
  <c r="H16" i="1"/>
  <c r="E11" i="1"/>
  <c r="K16" i="1" l="1"/>
  <c r="M16" i="1" s="1"/>
  <c r="K15" i="1"/>
  <c r="M15" i="1" s="1"/>
  <c r="K14" i="1"/>
  <c r="M14" i="1" s="1"/>
  <c r="K13" i="1"/>
  <c r="M13" i="1" s="1"/>
  <c r="K11" i="1"/>
  <c r="E12" i="1" l="1"/>
  <c r="E17" i="1" l="1"/>
  <c r="E18" i="1" s="1"/>
  <c r="E19" i="1" s="1"/>
  <c r="M11" i="1" l="1"/>
  <c r="H12" i="1" l="1"/>
  <c r="H17" i="1"/>
  <c r="K12" i="1" l="1"/>
  <c r="H18" i="1"/>
  <c r="H19" i="1" s="1"/>
  <c r="K17" i="1" l="1"/>
  <c r="K18" i="1" s="1"/>
  <c r="M12" i="1"/>
  <c r="M17" i="1" s="1"/>
  <c r="M18" i="1" l="1"/>
  <c r="M19" i="1" s="1"/>
  <c r="K19" i="1"/>
</calcChain>
</file>

<file path=xl/sharedStrings.xml><?xml version="1.0" encoding="utf-8"?>
<sst xmlns="http://schemas.openxmlformats.org/spreadsheetml/2006/main" count="56" uniqueCount="40">
  <si>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</si>
  <si>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</si>
  <si>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</si>
  <si>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</si>
  <si>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</si>
  <si>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</si>
  <si>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</si>
  <si>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</si>
  <si>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</si>
  <si>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</si>
  <si>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</si>
  <si>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</si>
  <si>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</si>
  <si>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</si>
  <si>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</si>
  <si>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TOTAL PRESENTED</t>
  </si>
  <si>
    <t>TOTAL RESEARCHED RCV</t>
  </si>
  <si>
    <t>TOTAL ACV</t>
  </si>
  <si>
    <t>TOTAL DEPRECIATION</t>
  </si>
  <si>
    <t>INSURED: PASTEUR PLAZA SURGERY CENTER</t>
  </si>
  <si>
    <t xml:space="preserve">LSG MATTER #: 426600.4187-00 </t>
  </si>
  <si>
    <t>CLAIM #: 85-00915163</t>
  </si>
  <si>
    <t>DATE OF LOSS: 1/26/2026</t>
  </si>
  <si>
    <t>CAUSE OF LOSS: FREEZE-UPS</t>
  </si>
  <si>
    <t>TRANE U.S. INC. (210-657-0901) PROPOSAL ID: 8564210</t>
  </si>
  <si>
    <t xml:space="preserve">TRANE BRANDED ROOFTOP </t>
  </si>
  <si>
    <t>EVAPORATOR WATER COIL</t>
  </si>
  <si>
    <t>OTHER MATERIALS</t>
  </si>
  <si>
    <t>LABOR</t>
  </si>
  <si>
    <t>CRANE</t>
  </si>
  <si>
    <t>TRUCK TRIP CHARGES.</t>
  </si>
  <si>
    <t>THE USE OF A CRANE FOR TWO (2) DAYS</t>
  </si>
  <si>
    <t xml:space="preserve">TRUCK CHARGES PER TECHNICIAN'S VEHICLE. </t>
  </si>
  <si>
    <t>SALES TAX (8.25%)</t>
  </si>
  <si>
    <t>N/A</t>
  </si>
  <si>
    <t>AVERAGE</t>
  </si>
  <si>
    <t>LABOR FOR FOUR (4) TECHNICIANS FOR TWO (2) FULL DAYS OF WORK.</t>
  </si>
  <si>
    <t>OUTDOOR T-SERIES EVAPORATOR COIL REPLACEMENT</t>
  </si>
  <si>
    <t xml:space="preserve">CUSTOM BUILD WATER COIL FOR EVAPORATOR UNIT. PLUS A VENDOR MARK UP ON MATERIALS. </t>
  </si>
  <si>
    <t>OTHER MATERIALS: DIELECTRIC FITTINGS, WELDING MATERIALS, NITROGEN GAS, BRAZING RODS,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</si>
</sst>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left" wrapText="1"/>
    </xf>
    <xf numFmtId="44" fontId="7" fillId="2" borderId="16" xfId="1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/>
    </xf>
    <xf numFmtId="9" fontId="7" fillId="2" borderId="16" xfId="6" applyFont="1" applyFill="1" applyBorder="1" applyAlignment="1">
      <alignment horizontal="center"/>
    </xf>
    <xf numFmtId="0" fontId="7" fillId="2" borderId="16" xfId="1" applyNumberFormat="1" applyFont="1" applyFill="1" applyBorder="1" applyAlignment="1">
      <alignment horizontal="center" wrapText="1"/>
    </xf>
    <xf numFmtId="0" fontId="7" fillId="0" borderId="16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left" wrapText="1"/>
    </xf>
    <xf numFmtId="44" fontId="7" fillId="0" borderId="16" xfId="1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/>
    </xf>
    <xf numFmtId="9" fontId="7" fillId="0" borderId="16" xfId="6" applyFont="1" applyFill="1" applyBorder="1" applyAlignment="1">
      <alignment horizontal="center"/>
    </xf>
    <xf numFmtId="0" fontId="7" fillId="0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0" borderId="20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zoomScale="80" zoomScaleNormal="80" zoomScalePageLayoutView="90" workbookViewId="0">
      <selection activeCell="I6" sqref="G3:I6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48" t="s">
        <v>19</v>
      </c>
      <c r="B1" s="49"/>
      <c r="C1" s="49"/>
      <c r="D1" s="49"/>
      <c r="E1" s="5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1" t="s">
        <v>20</v>
      </c>
      <c r="B2" s="52"/>
      <c r="C2" s="52"/>
      <c r="D2" s="52"/>
      <c r="E2" s="5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1" t="s">
        <v>21</v>
      </c>
      <c r="B3" s="52"/>
      <c r="C3" s="52"/>
      <c r="D3" s="52"/>
      <c r="E3" s="5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51" t="s">
        <v>22</v>
      </c>
      <c r="B4" s="52"/>
      <c r="C4" s="52"/>
      <c r="D4" s="52"/>
      <c r="E4" s="5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54" t="s">
        <v>23</v>
      </c>
      <c r="B5" s="55"/>
      <c r="C5" s="55"/>
      <c r="D5" s="55"/>
      <c r="E5" s="56"/>
      <c r="F5" s="1"/>
      <c r="G5"/>
      <c r="H5"/>
      <c r="I5"/>
      <c r="J5" s="1"/>
      <c r="K5" s="1"/>
      <c r="L5" s="1"/>
      <c r="O5" s="3"/>
    </row>
    <row r="6" spans="1:18" x14ac:dyDescent="0.2">
      <c r="G6"/>
      <c r="H6"/>
      <c r="I6"/>
    </row>
    <row r="7" spans="1:18" ht="17" thickBot="1" x14ac:dyDescent="0.25"/>
    <row r="8" spans="1:18" s="9" customFormat="1" ht="25.5" customHeight="1" x14ac:dyDescent="0.15">
      <c r="A8" s="35" t="s">
        <v>24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8" ht="24" customHeight="1" x14ac:dyDescent="0.2">
      <c r="A9" s="38" t="s">
        <v>0</v>
      </c>
      <c r="B9" s="40" t="s">
        <v>1</v>
      </c>
      <c r="C9" s="42" t="s">
        <v>2</v>
      </c>
      <c r="D9" s="43"/>
      <c r="E9" s="44"/>
      <c r="F9" s="42" t="s">
        <v>3</v>
      </c>
      <c r="G9" s="43"/>
      <c r="H9" s="44"/>
      <c r="I9" s="45" t="s">
        <v>4</v>
      </c>
      <c r="J9" s="45" t="s">
        <v>5</v>
      </c>
      <c r="K9" s="45" t="s">
        <v>6</v>
      </c>
      <c r="L9" s="45" t="s">
        <v>7</v>
      </c>
      <c r="M9" s="45" t="s">
        <v>8</v>
      </c>
      <c r="N9" s="45" t="s">
        <v>9</v>
      </c>
      <c r="O9" s="38" t="s">
        <v>10</v>
      </c>
    </row>
    <row r="10" spans="1:18" s="4" customFormat="1" ht="24" customHeight="1" thickBot="1" x14ac:dyDescent="0.25">
      <c r="A10" s="39"/>
      <c r="B10" s="4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6"/>
      <c r="J10" s="46"/>
      <c r="K10" s="46"/>
      <c r="L10" s="46"/>
      <c r="M10" s="46"/>
      <c r="N10" s="46"/>
      <c r="O10" s="39"/>
    </row>
    <row r="11" spans="1:18" s="4" customFormat="1" ht="91" customHeight="1" x14ac:dyDescent="0.2">
      <c r="A11" s="82">
        <v>1</v>
      </c>
      <c r="B11" s="83" t="s">
        <v>37</v>
      </c>
      <c r="C11" s="84">
        <v>1</v>
      </c>
      <c r="D11" s="85">
        <v>32998.54</v>
      </c>
      <c r="E11" s="85">
        <f>C11*D11</f>
        <v>32998.54</v>
      </c>
      <c r="F11" s="84">
        <v>0</v>
      </c>
      <c r="G11" s="85">
        <v>0</v>
      </c>
      <c r="H11" s="85">
        <f>F11*G11</f>
        <v>0</v>
      </c>
      <c r="I11" s="86" t="s">
        <v>34</v>
      </c>
      <c r="J11" s="86" t="s">
        <v>34</v>
      </c>
      <c r="K11" s="85">
        <f>H11*(1-L11)</f>
        <v>0</v>
      </c>
      <c r="L11" s="87">
        <v>0</v>
      </c>
      <c r="M11" s="85">
        <f>H11-K11</f>
        <v>0</v>
      </c>
      <c r="N11" s="88" t="s">
        <v>34</v>
      </c>
      <c r="O11" s="89" t="s">
        <v>25</v>
      </c>
      <c r="R11" s="26"/>
    </row>
    <row r="12" spans="1:18" s="4" customFormat="1" ht="65" customHeight="1" x14ac:dyDescent="0.2">
      <c r="A12" s="90">
        <v>2</v>
      </c>
      <c r="B12" s="77" t="s">
        <v>26</v>
      </c>
      <c r="C12" s="76">
        <v>0</v>
      </c>
      <c r="D12" s="78">
        <v>0</v>
      </c>
      <c r="E12" s="78">
        <f t="shared" ref="E12:E16" si="0">C12*D12</f>
        <v>0</v>
      </c>
      <c r="F12" s="76">
        <v>1</v>
      </c>
      <c r="G12" s="78">
        <v>11000</v>
      </c>
      <c r="H12" s="78">
        <f t="shared" ref="H12" si="1">F12*G12</f>
        <v>11000</v>
      </c>
      <c r="I12" s="79">
        <f>2026-2001</f>
        <v>25</v>
      </c>
      <c r="J12" s="79">
        <v>20</v>
      </c>
      <c r="K12" s="78">
        <f t="shared" ref="K12:K16" si="2">H12*(1-L12)</f>
        <v>2750</v>
      </c>
      <c r="L12" s="80">
        <f t="shared" ref="L12:L13" si="3">IF((I12/J12)&gt;=0.75,0.75,IF((I12/J12)&gt;=0.1,(I12/J12),IF((I12/J12)&lt;=0.1,0.1)))</f>
        <v>0.75</v>
      </c>
      <c r="M12" s="78">
        <f t="shared" ref="M12:M16" si="4">H12-K12</f>
        <v>8250</v>
      </c>
      <c r="N12" s="81" t="s">
        <v>35</v>
      </c>
      <c r="O12" s="91" t="s">
        <v>38</v>
      </c>
    </row>
    <row r="13" spans="1:18" s="4" customFormat="1" ht="65" customHeight="1" x14ac:dyDescent="0.2">
      <c r="A13" s="92">
        <v>3</v>
      </c>
      <c r="B13" s="71" t="s">
        <v>27</v>
      </c>
      <c r="C13" s="70">
        <v>0</v>
      </c>
      <c r="D13" s="72">
        <v>0</v>
      </c>
      <c r="E13" s="72">
        <f t="shared" si="0"/>
        <v>0</v>
      </c>
      <c r="F13" s="70">
        <v>1</v>
      </c>
      <c r="G13" s="72">
        <v>3398.54</v>
      </c>
      <c r="H13" s="72">
        <f>F13*G13</f>
        <v>3398.54</v>
      </c>
      <c r="I13" s="73">
        <v>25</v>
      </c>
      <c r="J13" s="73">
        <v>20</v>
      </c>
      <c r="K13" s="72">
        <f t="shared" si="2"/>
        <v>849.63499999999999</v>
      </c>
      <c r="L13" s="74">
        <f t="shared" si="3"/>
        <v>0.75</v>
      </c>
      <c r="M13" s="72">
        <f t="shared" si="4"/>
        <v>2548.9049999999997</v>
      </c>
      <c r="N13" s="75" t="s">
        <v>35</v>
      </c>
      <c r="O13" s="93" t="s">
        <v>39</v>
      </c>
    </row>
    <row r="14" spans="1:18" s="4" customFormat="1" ht="65" customHeight="1" x14ac:dyDescent="0.2">
      <c r="A14" s="90">
        <v>4</v>
      </c>
      <c r="B14" s="77" t="s">
        <v>28</v>
      </c>
      <c r="C14" s="76">
        <v>0</v>
      </c>
      <c r="D14" s="78">
        <v>0</v>
      </c>
      <c r="E14" s="78">
        <f t="shared" si="0"/>
        <v>0</v>
      </c>
      <c r="F14" s="76">
        <v>64</v>
      </c>
      <c r="G14" s="78">
        <v>250</v>
      </c>
      <c r="H14" s="78">
        <f t="shared" ref="H14" si="5">F14*G14</f>
        <v>16000</v>
      </c>
      <c r="I14" s="79" t="s">
        <v>34</v>
      </c>
      <c r="J14" s="79" t="s">
        <v>34</v>
      </c>
      <c r="K14" s="78">
        <f t="shared" si="2"/>
        <v>16000</v>
      </c>
      <c r="L14" s="80">
        <v>0</v>
      </c>
      <c r="M14" s="78">
        <f t="shared" si="4"/>
        <v>0</v>
      </c>
      <c r="N14" s="81" t="s">
        <v>34</v>
      </c>
      <c r="O14" s="91" t="s">
        <v>36</v>
      </c>
    </row>
    <row r="15" spans="1:18" s="4" customFormat="1" ht="65" customHeight="1" x14ac:dyDescent="0.2">
      <c r="A15" s="92">
        <v>5</v>
      </c>
      <c r="B15" s="71" t="s">
        <v>29</v>
      </c>
      <c r="C15" s="70">
        <v>0</v>
      </c>
      <c r="D15" s="72">
        <v>0</v>
      </c>
      <c r="E15" s="72">
        <f t="shared" si="0"/>
        <v>0</v>
      </c>
      <c r="F15" s="70">
        <v>2</v>
      </c>
      <c r="G15" s="72">
        <v>1200</v>
      </c>
      <c r="H15" s="72">
        <f>F15*G15</f>
        <v>2400</v>
      </c>
      <c r="I15" s="73" t="s">
        <v>34</v>
      </c>
      <c r="J15" s="73" t="s">
        <v>34</v>
      </c>
      <c r="K15" s="72">
        <f t="shared" si="2"/>
        <v>2400</v>
      </c>
      <c r="L15" s="74">
        <v>0</v>
      </c>
      <c r="M15" s="72">
        <f t="shared" si="4"/>
        <v>0</v>
      </c>
      <c r="N15" s="75" t="s">
        <v>34</v>
      </c>
      <c r="O15" s="93" t="s">
        <v>31</v>
      </c>
    </row>
    <row r="16" spans="1:18" s="4" customFormat="1" ht="65" customHeight="1" thickBot="1" x14ac:dyDescent="0.25">
      <c r="A16" s="94">
        <v>6</v>
      </c>
      <c r="B16" s="95" t="s">
        <v>30</v>
      </c>
      <c r="C16" s="96">
        <v>0</v>
      </c>
      <c r="D16" s="97">
        <v>0</v>
      </c>
      <c r="E16" s="97">
        <f t="shared" si="0"/>
        <v>0</v>
      </c>
      <c r="F16" s="96">
        <v>4</v>
      </c>
      <c r="G16" s="97">
        <v>50</v>
      </c>
      <c r="H16" s="97">
        <f t="shared" ref="H16" si="6">F16*G16</f>
        <v>200</v>
      </c>
      <c r="I16" s="98" t="s">
        <v>34</v>
      </c>
      <c r="J16" s="98" t="s">
        <v>34</v>
      </c>
      <c r="K16" s="99">
        <f t="shared" si="2"/>
        <v>200</v>
      </c>
      <c r="L16" s="100">
        <v>0</v>
      </c>
      <c r="M16" s="99">
        <f t="shared" si="4"/>
        <v>0</v>
      </c>
      <c r="N16" s="101" t="s">
        <v>34</v>
      </c>
      <c r="O16" s="102" t="s">
        <v>32</v>
      </c>
    </row>
    <row r="17" spans="1:15" s="4" customFormat="1" ht="18" customHeight="1" thickBot="1" x14ac:dyDescent="0.25">
      <c r="A17" s="61" t="s">
        <v>14</v>
      </c>
      <c r="B17" s="62"/>
      <c r="C17" s="62"/>
      <c r="D17" s="63"/>
      <c r="E17" s="13">
        <f>SUM(E11:E16)</f>
        <v>32998.54</v>
      </c>
      <c r="F17" s="14"/>
      <c r="G17" s="15"/>
      <c r="H17" s="16">
        <f>SUM(H11:H16)</f>
        <v>32998.54</v>
      </c>
      <c r="I17" s="64"/>
      <c r="J17" s="65"/>
      <c r="K17" s="17">
        <f>SUM(K11:K16)</f>
        <v>22199.635000000002</v>
      </c>
      <c r="L17" s="17"/>
      <c r="M17" s="17">
        <f>SUM(M11:M16)</f>
        <v>10798.904999999999</v>
      </c>
      <c r="N17"/>
    </row>
    <row r="18" spans="1:15" s="4" customFormat="1" ht="18" customHeight="1" x14ac:dyDescent="0.2">
      <c r="A18" s="57" t="s">
        <v>33</v>
      </c>
      <c r="B18" s="58"/>
      <c r="C18" s="58"/>
      <c r="D18" s="59"/>
      <c r="E18" s="18">
        <f>E17*0.0825</f>
        <v>2722.3795500000001</v>
      </c>
      <c r="F18" s="19"/>
      <c r="G18" s="20"/>
      <c r="H18" s="18">
        <f>H17*0.0825</f>
        <v>2722.3795500000001</v>
      </c>
      <c r="I18" s="68"/>
      <c r="J18" s="69"/>
      <c r="K18" s="21">
        <f>K17*0.0825</f>
        <v>1831.4698875000001</v>
      </c>
      <c r="L18" s="21"/>
      <c r="M18" s="21">
        <f>H18-K18</f>
        <v>890.90966249999997</v>
      </c>
      <c r="N18"/>
    </row>
    <row r="19" spans="1:15" s="4" customFormat="1" ht="18" customHeight="1" thickBot="1" x14ac:dyDescent="0.25">
      <c r="A19" s="57" t="s">
        <v>13</v>
      </c>
      <c r="B19" s="58"/>
      <c r="C19" s="58"/>
      <c r="D19" s="59"/>
      <c r="E19" s="22">
        <f>SUM(E17:E18)</f>
        <v>35720.919549999999</v>
      </c>
      <c r="F19" s="23"/>
      <c r="G19" s="24"/>
      <c r="H19" s="22">
        <f>SUM(H17,H18)</f>
        <v>35720.919549999999</v>
      </c>
      <c r="I19" s="66"/>
      <c r="J19" s="67"/>
      <c r="K19" s="25">
        <f>SUM(K17:K18)</f>
        <v>24031.104887500001</v>
      </c>
      <c r="L19" s="25"/>
      <c r="M19" s="25">
        <f>SUM(M17:M18)</f>
        <v>11689.814662499999</v>
      </c>
      <c r="N19"/>
      <c r="O19" s="26"/>
    </row>
    <row r="20" spans="1:15" ht="12.75" customHeight="1" x14ac:dyDescent="0.2">
      <c r="A20" s="60"/>
      <c r="B20" s="60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2" spans="1:15" x14ac:dyDescent="0.2">
      <c r="B22" s="27" t="s">
        <v>15</v>
      </c>
      <c r="C22" s="28"/>
      <c r="D22" s="29"/>
      <c r="E22" s="33">
        <f>E19</f>
        <v>35720.919549999999</v>
      </c>
    </row>
    <row r="23" spans="1:15" x14ac:dyDescent="0.2">
      <c r="B23" s="30"/>
      <c r="C23" s="31"/>
      <c r="D23" s="32"/>
      <c r="E23" s="47"/>
    </row>
    <row r="24" spans="1:15" x14ac:dyDescent="0.2">
      <c r="H24" s="26"/>
    </row>
    <row r="25" spans="1:15" x14ac:dyDescent="0.2">
      <c r="B25" s="27" t="s">
        <v>16</v>
      </c>
      <c r="C25" s="28"/>
      <c r="D25" s="29"/>
      <c r="E25" s="33">
        <f>H19</f>
        <v>35720.919549999999</v>
      </c>
    </row>
    <row r="26" spans="1:15" x14ac:dyDescent="0.2">
      <c r="B26" s="30"/>
      <c r="C26" s="31"/>
      <c r="D26" s="32"/>
      <c r="E26" s="47"/>
    </row>
    <row r="28" spans="1:15" x14ac:dyDescent="0.2">
      <c r="B28" s="27" t="s">
        <v>17</v>
      </c>
      <c r="C28" s="28"/>
      <c r="D28" s="29"/>
      <c r="E28" s="33">
        <f>K19</f>
        <v>24031.104887500001</v>
      </c>
    </row>
    <row r="29" spans="1:15" x14ac:dyDescent="0.2">
      <c r="B29" s="30"/>
      <c r="C29" s="31"/>
      <c r="D29" s="32"/>
      <c r="E29" s="47"/>
      <c r="I29" s="7"/>
      <c r="J29" s="7"/>
      <c r="K29" s="7"/>
      <c r="L29" s="7"/>
    </row>
    <row r="30" spans="1:15" x14ac:dyDescent="0.2">
      <c r="I30" s="7"/>
      <c r="J30" s="7"/>
      <c r="K30" s="7"/>
      <c r="L30" s="7"/>
    </row>
    <row r="31" spans="1:15" x14ac:dyDescent="0.2">
      <c r="B31" s="27" t="s">
        <v>18</v>
      </c>
      <c r="C31" s="28"/>
      <c r="D31" s="29"/>
      <c r="E31" s="33">
        <f>M19</f>
        <v>11689.814662499999</v>
      </c>
    </row>
    <row r="32" spans="1:15" x14ac:dyDescent="0.2">
      <c r="B32" s="30"/>
      <c r="C32" s="31"/>
      <c r="D32" s="32"/>
      <c r="E32" s="34"/>
    </row>
  </sheetData>
  <mergeCells count="32">
    <mergeCell ref="A18:D18"/>
    <mergeCell ref="I18:J18"/>
    <mergeCell ref="A19:D19"/>
    <mergeCell ref="I19:J19"/>
    <mergeCell ref="A20:B20"/>
    <mergeCell ref="F9:H9"/>
    <mergeCell ref="A9:A10"/>
    <mergeCell ref="A8:O8"/>
    <mergeCell ref="C9:E9"/>
    <mergeCell ref="B9:B10"/>
    <mergeCell ref="A17:D17"/>
    <mergeCell ref="I17:J17"/>
    <mergeCell ref="L9:L10"/>
    <mergeCell ref="O9:O10"/>
    <mergeCell ref="I9:I10"/>
    <mergeCell ref="J9:J10"/>
    <mergeCell ref="K9:K10"/>
    <mergeCell ref="M9:M10"/>
    <mergeCell ref="N9:N10"/>
    <mergeCell ref="B28:D29"/>
    <mergeCell ref="E28:E29"/>
    <mergeCell ref="A1:E1"/>
    <mergeCell ref="A2:E2"/>
    <mergeCell ref="A3:E3"/>
    <mergeCell ref="A4:E4"/>
    <mergeCell ref="A5:E5"/>
    <mergeCell ref="E22:E23"/>
    <mergeCell ref="E25:E26"/>
    <mergeCell ref="B31:D32"/>
    <mergeCell ref="E31:E32"/>
    <mergeCell ref="B22:D23"/>
    <mergeCell ref="B25:D26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2026-03-01T00:28:53Z</dcterms:modified>
  <cp:category/>
  <cp:contentStatus/>
</cp:coreProperties>
</file>