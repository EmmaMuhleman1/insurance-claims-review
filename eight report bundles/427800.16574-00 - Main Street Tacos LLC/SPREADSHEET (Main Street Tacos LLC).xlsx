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ain Street Tacos llc/"/>
    </mc:Choice>
  </mc:AlternateContent>
  <xr:revisionPtr revIDLastSave="0" documentId="13_ncr:1_{05B0E82F-055E-8146-855A-AF8B4932CD48}" xr6:coauthVersionLast="47" xr6:coauthVersionMax="47" xr10:uidLastSave="{00000000-0000-0000-0000-000000000000}"/>
  <bookViews>
    <workbookView xWindow="3980" yWindow="30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3" i="1" l="1"/>
  <c r="K33" i="1"/>
  <c r="G28" i="1"/>
  <c r="H28" i="1" s="1"/>
  <c r="K28" i="1" s="1"/>
  <c r="H31" i="1"/>
  <c r="K31" i="1" s="1"/>
  <c r="M31" i="1" s="1"/>
  <c r="E31" i="1"/>
  <c r="L30" i="1"/>
  <c r="E30" i="1"/>
  <c r="H29" i="1"/>
  <c r="E29" i="1"/>
  <c r="G30" i="1" s="1"/>
  <c r="H30" i="1" s="1"/>
  <c r="E28" i="1"/>
  <c r="G16" i="1"/>
  <c r="H16" i="1" s="1"/>
  <c r="H18" i="1"/>
  <c r="E18" i="1"/>
  <c r="F19" i="1"/>
  <c r="H19" i="1" s="1"/>
  <c r="H11" i="1"/>
  <c r="L12" i="1"/>
  <c r="L13" i="1"/>
  <c r="L14" i="1"/>
  <c r="L15" i="1"/>
  <c r="L16" i="1"/>
  <c r="E13" i="1"/>
  <c r="H13" i="1"/>
  <c r="E14" i="1"/>
  <c r="H14" i="1"/>
  <c r="E15" i="1"/>
  <c r="H15" i="1"/>
  <c r="E16" i="1"/>
  <c r="E17" i="1"/>
  <c r="H17" i="1"/>
  <c r="E19" i="1"/>
  <c r="E11" i="1"/>
  <c r="K30" i="1" l="1"/>
  <c r="M30" i="1" s="1"/>
  <c r="E32" i="1"/>
  <c r="E34" i="1" s="1"/>
  <c r="E37" i="1" s="1"/>
  <c r="H32" i="1"/>
  <c r="H34" i="1" s="1"/>
  <c r="E40" i="1" s="1"/>
  <c r="M28" i="1"/>
  <c r="K29" i="1"/>
  <c r="M29" i="1" s="1"/>
  <c r="K13" i="1"/>
  <c r="M13" i="1" s="1"/>
  <c r="K19" i="1"/>
  <c r="M19" i="1" s="1"/>
  <c r="K18" i="1"/>
  <c r="M18" i="1" s="1"/>
  <c r="K14" i="1"/>
  <c r="M14" i="1" s="1"/>
  <c r="K16" i="1"/>
  <c r="M16" i="1" s="1"/>
  <c r="K17" i="1"/>
  <c r="M17" i="1" s="1"/>
  <c r="K15" i="1"/>
  <c r="M15" i="1" s="1"/>
  <c r="K11" i="1"/>
  <c r="M32" i="1" l="1"/>
  <c r="M34" i="1" s="1"/>
  <c r="E46" i="1" s="1"/>
  <c r="K32" i="1"/>
  <c r="K34" i="1" s="1"/>
  <c r="E43" i="1" s="1"/>
  <c r="E12" i="1"/>
  <c r="H12" i="1"/>
  <c r="K12" i="1" s="1"/>
  <c r="E20" i="1" l="1"/>
  <c r="E22" i="1" s="1"/>
  <c r="M12" i="1"/>
  <c r="H20" i="1" l="1"/>
  <c r="H22" i="1" s="1"/>
  <c r="K20" i="1"/>
  <c r="K22" i="1" s="1"/>
  <c r="M11" i="1" l="1"/>
  <c r="M20" i="1" s="1"/>
  <c r="M22" i="1" s="1"/>
</calcChain>
</file>

<file path=xl/sharedStrings.xml><?xml version="1.0" encoding="utf-8"?>
<sst xmlns="http://schemas.openxmlformats.org/spreadsheetml/2006/main" count="104" uniqueCount="52">
  <si>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</si>
  <si>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</si>
  <si>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</si>
  <si>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</si>
  <si>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</si>
  <si>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</si>
  <si>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</si>
  <si>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</si>
  <si>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</si>
  <si>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</si>
  <si>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</si>
  <si>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</si>
  <si>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</si>
  <si>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</si>
  <si>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</si>
  <si>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</si>
  <si>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</si>
  <si>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</si>
  <si>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</si>
  <si>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</si>
  <si>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INSURED: MAIN STREET TACOS LLC</t>
  </si>
  <si>
    <t xml:space="preserve">LSG MATTER #: 427800.16574-00 </t>
  </si>
  <si>
    <t>CLAIM #: CP0021307830</t>
  </si>
  <si>
    <t>DATE OF LOSS: 11/21/2025</t>
  </si>
  <si>
    <t>CAUSE OF LOSS: FIRE</t>
  </si>
  <si>
    <t>RNP SHEETMETAL (972-329-8288) PROPOSAL # 1479</t>
  </si>
  <si>
    <t>REPLACEMENT OF VENT HOOD, STEEL PANELS, AND FIRE WRAP.</t>
  </si>
  <si>
    <t>10 FT VENT HOOD WITH LIGHTS AND FILTERS</t>
  </si>
  <si>
    <t xml:space="preserve">REPLACEMENT OF THE INSURED'S VENT HOOD, STAINLESS STEEL PANELS FOR WALLS BEHIND HOOD, AND TO FIRE WRAP THE GREASE DUCT. THIS PRICE WAS GIVEN TO US IN A LUMP SUM COST. WITH HELP FROM THE VENDOR WE WERE ABLE TO BREAK THIS COST DOWN AS FOLLOWS. </t>
  </si>
  <si>
    <t>STAINLESS STEEL PLATES FOR WALLS UNDER THE HOOD</t>
  </si>
  <si>
    <t>DOUBLE LAYER FIRE WRAP FOR GREASE DUCT</t>
  </si>
  <si>
    <t xml:space="preserve">DOUBLE LAYER WRAP THE DUCTWORK WITH NEW FIRE WRAP INSULATION. </t>
  </si>
  <si>
    <t>MISC. MATERIALS</t>
  </si>
  <si>
    <t xml:space="preserve">MISCELLANEOUS OTHER SMALLER MATERIALS. </t>
  </si>
  <si>
    <t>DISPOSAL OF THE OLD EQUIPMENT</t>
  </si>
  <si>
    <t>LABOR HOURS TO COMPLETE THE JOB</t>
  </si>
  <si>
    <t>PERMITS</t>
  </si>
  <si>
    <t>DUCTWORK</t>
  </si>
  <si>
    <t>N/A</t>
  </si>
  <si>
    <t>AVERAGE</t>
  </si>
  <si>
    <t>INSULATED STAINLESS STEEL PLATES FOR WALLS UNDER THE HOOD</t>
  </si>
  <si>
    <t>10 FOOT TYPE 1 VENT HOOD WITH LIGHTS AND FILTERS. (ECON AIR BRAND)</t>
  </si>
  <si>
    <t xml:space="preserve">DISPOSAL AND RECYCLING OF THE OLD AND DAMAGED EQUIPMENT. </t>
  </si>
  <si>
    <t>ICE BERG (817-851-3818) INVOICE # 3422</t>
  </si>
  <si>
    <t>INITIAL VISIT TO TROUBLESHOOT THE FAILING WALK IN COOLER. BAD WIRING AND COMPRESSOR TRIPPED.</t>
  </si>
  <si>
    <t>1ST TRIP TO TROUBLESHOOT WALK IN COOLER</t>
  </si>
  <si>
    <t>2ND TRIP TO MAKE THE REPAIRS</t>
  </si>
  <si>
    <t>PARTS AND MATERIALS FOR 2ND TRIP</t>
  </si>
  <si>
    <t>LABOR HOURS FOR 2ND TRIP</t>
  </si>
  <si>
    <t xml:space="preserve">2ND TRIP TO CHANGE OUT COMPRESSOR AND MAKE ELECTRICAL WIRE REPAIRS. THIS COST WAS PROVIDED TO US IN A LUMP SUM COST. WITH HELP FROM THE VENDOR WE WERE ABLE TO BREAK THIS COST DOWN AS FOLLOWS. </t>
  </si>
  <si>
    <t xml:space="preserve">LABOR FOR ONE TECHNICIAN FOR ONE DAY OF LABOR TO COMPLETE THE REPAIRS. </t>
  </si>
  <si>
    <t xml:space="preserve">ONE SCROLL COMPRESSOR (COPELAND BRANDED), LIQUID LINE FILTER DRYER, BRAZING MATERIALS, ELECTRICAL WIRE, ELECTRICAL CONNECTIONS,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</si>
</sst>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6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/>
    </xf>
    <xf numFmtId="44" fontId="7" fillId="0" borderId="0" xfId="0" applyNumberFormat="1" applyFont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2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left" wrapText="1"/>
    </xf>
    <xf numFmtId="0" fontId="7" fillId="2" borderId="23" xfId="1" applyNumberFormat="1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left" wrapText="1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tabSelected="1" topLeftCell="A21" zoomScale="80" zoomScaleNormal="80" zoomScalePageLayoutView="90" workbookViewId="0">
      <selection activeCell="H37" sqref="H37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76" t="s">
        <v>20</v>
      </c>
      <c r="B1" s="77"/>
      <c r="C1" s="77"/>
      <c r="D1" s="77"/>
      <c r="E1" s="78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79" t="s">
        <v>21</v>
      </c>
      <c r="B2" s="80"/>
      <c r="C2" s="80"/>
      <c r="D2" s="80"/>
      <c r="E2" s="81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79" t="s">
        <v>22</v>
      </c>
      <c r="B3" s="80"/>
      <c r="C3" s="80"/>
      <c r="D3" s="80"/>
      <c r="E3" s="81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79" t="s">
        <v>23</v>
      </c>
      <c r="B4" s="80"/>
      <c r="C4" s="80"/>
      <c r="D4" s="80"/>
      <c r="E4" s="81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82" t="s">
        <v>24</v>
      </c>
      <c r="B5" s="83"/>
      <c r="C5" s="83"/>
      <c r="D5" s="83"/>
      <c r="E5" s="84"/>
      <c r="F5" s="1"/>
      <c r="G5"/>
      <c r="H5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88" t="s">
        <v>25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90"/>
    </row>
    <row r="9" spans="1:18" ht="24" customHeight="1" x14ac:dyDescent="0.2">
      <c r="A9" s="65" t="s">
        <v>0</v>
      </c>
      <c r="B9" s="91" t="s">
        <v>1</v>
      </c>
      <c r="C9" s="93" t="s">
        <v>2</v>
      </c>
      <c r="D9" s="94"/>
      <c r="E9" s="95"/>
      <c r="F9" s="93" t="s">
        <v>3</v>
      </c>
      <c r="G9" s="94"/>
      <c r="H9" s="95"/>
      <c r="I9" s="63" t="s">
        <v>4</v>
      </c>
      <c r="J9" s="63" t="s">
        <v>5</v>
      </c>
      <c r="K9" s="63" t="s">
        <v>6</v>
      </c>
      <c r="L9" s="63" t="s">
        <v>7</v>
      </c>
      <c r="M9" s="63" t="s">
        <v>8</v>
      </c>
      <c r="N9" s="63" t="s">
        <v>9</v>
      </c>
      <c r="O9" s="65" t="s">
        <v>10</v>
      </c>
    </row>
    <row r="10" spans="1:18" s="4" customFormat="1" ht="24" customHeight="1" thickBot="1" x14ac:dyDescent="0.25">
      <c r="A10" s="66"/>
      <c r="B10" s="92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64"/>
      <c r="J10" s="64"/>
      <c r="K10" s="64"/>
      <c r="L10" s="64"/>
      <c r="M10" s="64"/>
      <c r="N10" s="64"/>
      <c r="O10" s="66"/>
    </row>
    <row r="11" spans="1:18" s="4" customFormat="1" ht="124" customHeight="1" x14ac:dyDescent="0.2">
      <c r="A11" s="38">
        <v>1</v>
      </c>
      <c r="B11" s="39" t="s">
        <v>26</v>
      </c>
      <c r="C11" s="40">
        <v>1</v>
      </c>
      <c r="D11" s="41">
        <v>13500</v>
      </c>
      <c r="E11" s="41">
        <f>C11*D11</f>
        <v>13500</v>
      </c>
      <c r="F11" s="40">
        <v>0</v>
      </c>
      <c r="G11" s="41">
        <v>0</v>
      </c>
      <c r="H11" s="41">
        <f>F11*G11</f>
        <v>0</v>
      </c>
      <c r="I11" s="42" t="s">
        <v>38</v>
      </c>
      <c r="J11" s="42" t="s">
        <v>38</v>
      </c>
      <c r="K11" s="41">
        <f>H11*(1-L11)</f>
        <v>0</v>
      </c>
      <c r="L11" s="43">
        <v>0</v>
      </c>
      <c r="M11" s="41">
        <f>H11-K11</f>
        <v>0</v>
      </c>
      <c r="N11" s="44" t="s">
        <v>38</v>
      </c>
      <c r="O11" s="45" t="s">
        <v>28</v>
      </c>
      <c r="R11" s="27"/>
    </row>
    <row r="12" spans="1:18" s="4" customFormat="1" ht="65" customHeight="1" x14ac:dyDescent="0.2">
      <c r="A12" s="46">
        <v>2</v>
      </c>
      <c r="B12" s="34" t="s">
        <v>27</v>
      </c>
      <c r="C12" s="28">
        <v>0</v>
      </c>
      <c r="D12" s="35">
        <v>0</v>
      </c>
      <c r="E12" s="35">
        <f t="shared" ref="E12:E19" si="0">C12*D12</f>
        <v>0</v>
      </c>
      <c r="F12" s="28">
        <v>1</v>
      </c>
      <c r="G12" s="35">
        <v>6039.6</v>
      </c>
      <c r="H12" s="35">
        <f t="shared" ref="H12" si="1">F12*G12</f>
        <v>6039.6</v>
      </c>
      <c r="I12" s="36">
        <v>1.5</v>
      </c>
      <c r="J12" s="36">
        <v>20</v>
      </c>
      <c r="K12" s="30">
        <f t="shared" ref="K12:K19" si="2">H12*(1-L12)</f>
        <v>5435.64</v>
      </c>
      <c r="L12" s="32">
        <f t="shared" ref="L12:L16" si="3">IF((I12/J12)&gt;=0.75,0.75,IF((I12/J12)&gt;=0.1,(I12/J12),IF((I12/J12)&lt;=0.1,0.1)))</f>
        <v>0.1</v>
      </c>
      <c r="M12" s="30">
        <f t="shared" ref="M12:M19" si="4">H12-K12</f>
        <v>603.96</v>
      </c>
      <c r="N12" s="37" t="s">
        <v>39</v>
      </c>
      <c r="O12" s="47" t="s">
        <v>41</v>
      </c>
    </row>
    <row r="13" spans="1:18" s="4" customFormat="1" ht="76" customHeight="1" x14ac:dyDescent="0.2">
      <c r="A13" s="48">
        <v>3</v>
      </c>
      <c r="B13" s="29" t="s">
        <v>29</v>
      </c>
      <c r="C13" s="28">
        <v>0</v>
      </c>
      <c r="D13" s="30">
        <v>0</v>
      </c>
      <c r="E13" s="30">
        <f t="shared" si="0"/>
        <v>0</v>
      </c>
      <c r="F13" s="28">
        <v>1</v>
      </c>
      <c r="G13" s="35">
        <v>1669</v>
      </c>
      <c r="H13" s="35">
        <f>F13*G13</f>
        <v>1669</v>
      </c>
      <c r="I13" s="36">
        <v>1.5</v>
      </c>
      <c r="J13" s="31">
        <v>20</v>
      </c>
      <c r="K13" s="30">
        <f t="shared" si="2"/>
        <v>1502.1000000000001</v>
      </c>
      <c r="L13" s="32">
        <f t="shared" si="3"/>
        <v>0.1</v>
      </c>
      <c r="M13" s="30">
        <f t="shared" si="4"/>
        <v>166.89999999999986</v>
      </c>
      <c r="N13" s="33" t="s">
        <v>39</v>
      </c>
      <c r="O13" s="49" t="s">
        <v>40</v>
      </c>
    </row>
    <row r="14" spans="1:18" s="4" customFormat="1" ht="65" customHeight="1" x14ac:dyDescent="0.2">
      <c r="A14" s="46">
        <v>4</v>
      </c>
      <c r="B14" s="34" t="s">
        <v>30</v>
      </c>
      <c r="C14" s="28">
        <v>0</v>
      </c>
      <c r="D14" s="35">
        <v>0</v>
      </c>
      <c r="E14" s="35">
        <f t="shared" si="0"/>
        <v>0</v>
      </c>
      <c r="F14" s="28">
        <v>1</v>
      </c>
      <c r="G14" s="35">
        <v>900</v>
      </c>
      <c r="H14" s="35">
        <f t="shared" ref="H14" si="5">F14*G14</f>
        <v>900</v>
      </c>
      <c r="I14" s="36">
        <v>1.5</v>
      </c>
      <c r="J14" s="36">
        <v>20</v>
      </c>
      <c r="K14" s="30">
        <f t="shared" si="2"/>
        <v>810</v>
      </c>
      <c r="L14" s="32">
        <f t="shared" si="3"/>
        <v>0.1</v>
      </c>
      <c r="M14" s="30">
        <f t="shared" si="4"/>
        <v>90</v>
      </c>
      <c r="N14" s="37" t="s">
        <v>39</v>
      </c>
      <c r="O14" s="47" t="s">
        <v>31</v>
      </c>
    </row>
    <row r="15" spans="1:18" s="4" customFormat="1" ht="65" customHeight="1" x14ac:dyDescent="0.2">
      <c r="A15" s="48">
        <v>5</v>
      </c>
      <c r="B15" s="29" t="s">
        <v>37</v>
      </c>
      <c r="C15" s="28">
        <v>0</v>
      </c>
      <c r="D15" s="30">
        <v>0</v>
      </c>
      <c r="E15" s="30">
        <f t="shared" si="0"/>
        <v>0</v>
      </c>
      <c r="F15" s="28">
        <v>1</v>
      </c>
      <c r="G15" s="30">
        <v>700</v>
      </c>
      <c r="H15" s="30">
        <f>F15*G15</f>
        <v>700</v>
      </c>
      <c r="I15" s="36">
        <v>1.5</v>
      </c>
      <c r="J15" s="31">
        <v>20</v>
      </c>
      <c r="K15" s="30">
        <f t="shared" si="2"/>
        <v>630</v>
      </c>
      <c r="L15" s="32">
        <f t="shared" si="3"/>
        <v>0.1</v>
      </c>
      <c r="M15" s="30">
        <f t="shared" si="4"/>
        <v>70</v>
      </c>
      <c r="N15" s="33" t="s">
        <v>39</v>
      </c>
      <c r="O15" s="49" t="s">
        <v>37</v>
      </c>
    </row>
    <row r="16" spans="1:18" s="4" customFormat="1" ht="65" customHeight="1" x14ac:dyDescent="0.2">
      <c r="A16" s="46">
        <v>6</v>
      </c>
      <c r="B16" s="34" t="s">
        <v>32</v>
      </c>
      <c r="C16" s="28">
        <v>0</v>
      </c>
      <c r="D16" s="35">
        <v>0</v>
      </c>
      <c r="E16" s="35">
        <f t="shared" si="0"/>
        <v>0</v>
      </c>
      <c r="F16" s="28">
        <v>1</v>
      </c>
      <c r="G16" s="35">
        <f>202.4-11</f>
        <v>191.4</v>
      </c>
      <c r="H16" s="35">
        <f t="shared" ref="H16" si="6">F16*G16</f>
        <v>191.4</v>
      </c>
      <c r="I16" s="36">
        <v>1.5</v>
      </c>
      <c r="J16" s="36">
        <v>20</v>
      </c>
      <c r="K16" s="30">
        <f t="shared" si="2"/>
        <v>172.26000000000002</v>
      </c>
      <c r="L16" s="32">
        <f t="shared" si="3"/>
        <v>0.1</v>
      </c>
      <c r="M16" s="30">
        <f t="shared" si="4"/>
        <v>19.139999999999986</v>
      </c>
      <c r="N16" s="37" t="s">
        <v>39</v>
      </c>
      <c r="O16" s="47" t="s">
        <v>33</v>
      </c>
    </row>
    <row r="17" spans="1:15" s="4" customFormat="1" ht="65" customHeight="1" x14ac:dyDescent="0.2">
      <c r="A17" s="48">
        <v>7</v>
      </c>
      <c r="B17" s="29" t="s">
        <v>34</v>
      </c>
      <c r="C17" s="28">
        <v>0</v>
      </c>
      <c r="D17" s="30">
        <v>0</v>
      </c>
      <c r="E17" s="30">
        <f t="shared" si="0"/>
        <v>0</v>
      </c>
      <c r="F17" s="28">
        <v>1</v>
      </c>
      <c r="G17" s="30">
        <v>200</v>
      </c>
      <c r="H17" s="30">
        <f>F17*G17</f>
        <v>200</v>
      </c>
      <c r="I17" s="31" t="s">
        <v>38</v>
      </c>
      <c r="J17" s="31" t="s">
        <v>38</v>
      </c>
      <c r="K17" s="30">
        <f t="shared" si="2"/>
        <v>200</v>
      </c>
      <c r="L17" s="32">
        <v>0</v>
      </c>
      <c r="M17" s="30">
        <f t="shared" si="4"/>
        <v>0</v>
      </c>
      <c r="N17" s="33" t="s">
        <v>38</v>
      </c>
      <c r="O17" s="49" t="s">
        <v>42</v>
      </c>
    </row>
    <row r="18" spans="1:15" s="4" customFormat="1" ht="65" customHeight="1" x14ac:dyDescent="0.2">
      <c r="A18" s="48">
        <v>8</v>
      </c>
      <c r="B18" s="29" t="s">
        <v>36</v>
      </c>
      <c r="C18" s="28">
        <v>0</v>
      </c>
      <c r="D18" s="30">
        <v>0</v>
      </c>
      <c r="E18" s="30">
        <f t="shared" ref="E18" si="7">C18*D18</f>
        <v>0</v>
      </c>
      <c r="F18" s="28">
        <v>1</v>
      </c>
      <c r="G18" s="30">
        <v>200</v>
      </c>
      <c r="H18" s="30">
        <f>F18*G18</f>
        <v>200</v>
      </c>
      <c r="I18" s="31" t="s">
        <v>38</v>
      </c>
      <c r="J18" s="31" t="s">
        <v>38</v>
      </c>
      <c r="K18" s="30">
        <f t="shared" ref="K18" si="8">H18*(1-L18)</f>
        <v>200</v>
      </c>
      <c r="L18" s="32">
        <v>0</v>
      </c>
      <c r="M18" s="30">
        <f t="shared" ref="M18" si="9">H18-K18</f>
        <v>0</v>
      </c>
      <c r="N18" s="33" t="s">
        <v>38</v>
      </c>
      <c r="O18" s="49" t="s">
        <v>36</v>
      </c>
    </row>
    <row r="19" spans="1:15" s="4" customFormat="1" ht="65" customHeight="1" thickBot="1" x14ac:dyDescent="0.25">
      <c r="A19" s="50">
        <v>9</v>
      </c>
      <c r="B19" s="51" t="s">
        <v>35</v>
      </c>
      <c r="C19" s="52">
        <v>0</v>
      </c>
      <c r="D19" s="53">
        <v>0</v>
      </c>
      <c r="E19" s="53">
        <f t="shared" si="0"/>
        <v>0</v>
      </c>
      <c r="F19" s="52">
        <f>3*8</f>
        <v>24</v>
      </c>
      <c r="G19" s="53">
        <v>150</v>
      </c>
      <c r="H19" s="53">
        <f t="shared" ref="H19" si="10">F19*G19</f>
        <v>3600</v>
      </c>
      <c r="I19" s="54" t="s">
        <v>38</v>
      </c>
      <c r="J19" s="54" t="s">
        <v>38</v>
      </c>
      <c r="K19" s="55">
        <f t="shared" si="2"/>
        <v>3600</v>
      </c>
      <c r="L19" s="56">
        <v>0</v>
      </c>
      <c r="M19" s="55">
        <f t="shared" si="4"/>
        <v>0</v>
      </c>
      <c r="N19" s="57" t="s">
        <v>38</v>
      </c>
      <c r="O19" s="58" t="s">
        <v>35</v>
      </c>
    </row>
    <row r="20" spans="1:15" s="4" customFormat="1" ht="18" customHeight="1" thickBot="1" x14ac:dyDescent="0.25">
      <c r="A20" s="97" t="s">
        <v>14</v>
      </c>
      <c r="B20" s="98"/>
      <c r="C20" s="98"/>
      <c r="D20" s="99"/>
      <c r="E20" s="13">
        <f>SUM(E11:E19)</f>
        <v>13500</v>
      </c>
      <c r="F20" s="14"/>
      <c r="G20" s="15"/>
      <c r="H20" s="16">
        <f>SUM(H11:H19)</f>
        <v>13500</v>
      </c>
      <c r="I20" s="100"/>
      <c r="J20" s="101"/>
      <c r="K20" s="17">
        <f>SUM(K11:K19)</f>
        <v>12550.000000000002</v>
      </c>
      <c r="L20" s="17"/>
      <c r="M20" s="17">
        <f>SUM(M11:M19)</f>
        <v>949.99999999999989</v>
      </c>
      <c r="N20"/>
    </row>
    <row r="21" spans="1:15" s="4" customFormat="1" ht="18" customHeight="1" x14ac:dyDescent="0.2">
      <c r="A21" s="85" t="s">
        <v>15</v>
      </c>
      <c r="B21" s="86"/>
      <c r="C21" s="86"/>
      <c r="D21" s="87"/>
      <c r="E21" s="18">
        <v>0</v>
      </c>
      <c r="F21" s="19"/>
      <c r="G21" s="20"/>
      <c r="H21" s="18">
        <v>0</v>
      </c>
      <c r="I21" s="104"/>
      <c r="J21" s="105"/>
      <c r="K21" s="21">
        <v>0</v>
      </c>
      <c r="L21" s="21"/>
      <c r="M21" s="21">
        <v>0</v>
      </c>
      <c r="N21"/>
    </row>
    <row r="22" spans="1:15" s="4" customFormat="1" ht="18" customHeight="1" thickBot="1" x14ac:dyDescent="0.25">
      <c r="A22" s="85" t="s">
        <v>13</v>
      </c>
      <c r="B22" s="86"/>
      <c r="C22" s="86"/>
      <c r="D22" s="87"/>
      <c r="E22" s="22">
        <f>SUM(E20:E21)</f>
        <v>13500</v>
      </c>
      <c r="F22" s="23"/>
      <c r="G22" s="24"/>
      <c r="H22" s="22">
        <f>SUM(H20,H21)</f>
        <v>13500</v>
      </c>
      <c r="I22" s="102"/>
      <c r="J22" s="103"/>
      <c r="K22" s="25">
        <f>SUM(K20:K21)</f>
        <v>12550.000000000002</v>
      </c>
      <c r="L22" s="25"/>
      <c r="M22" s="25">
        <f>SUM(M20:M21)</f>
        <v>949.99999999999989</v>
      </c>
      <c r="N22"/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/>
      <c r="O23" s="2"/>
    </row>
    <row r="24" spans="1:15" ht="12.75" customHeight="1" thickBo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26"/>
    </row>
    <row r="25" spans="1:15" s="9" customFormat="1" ht="25.5" customHeight="1" thickBot="1" x14ac:dyDescent="0.2">
      <c r="A25" s="88" t="s">
        <v>43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</row>
    <row r="26" spans="1:15" ht="24" customHeight="1" thickBot="1" x14ac:dyDescent="0.25">
      <c r="A26" s="65" t="s">
        <v>0</v>
      </c>
      <c r="B26" s="91" t="s">
        <v>1</v>
      </c>
      <c r="C26" s="93" t="s">
        <v>2</v>
      </c>
      <c r="D26" s="94"/>
      <c r="E26" s="95"/>
      <c r="F26" s="93" t="s">
        <v>3</v>
      </c>
      <c r="G26" s="94"/>
      <c r="H26" s="95"/>
      <c r="I26" s="63" t="s">
        <v>4</v>
      </c>
      <c r="J26" s="63" t="s">
        <v>5</v>
      </c>
      <c r="K26" s="63" t="s">
        <v>6</v>
      </c>
      <c r="L26" s="63" t="s">
        <v>7</v>
      </c>
      <c r="M26" s="63" t="s">
        <v>8</v>
      </c>
      <c r="N26" s="63" t="s">
        <v>9</v>
      </c>
      <c r="O26" s="65" t="s">
        <v>10</v>
      </c>
    </row>
    <row r="27" spans="1:15" ht="24" customHeight="1" thickBot="1" x14ac:dyDescent="0.25">
      <c r="A27" s="66"/>
      <c r="B27" s="92"/>
      <c r="C27" s="11" t="s">
        <v>11</v>
      </c>
      <c r="D27" s="10" t="s">
        <v>12</v>
      </c>
      <c r="E27" s="12" t="s">
        <v>13</v>
      </c>
      <c r="F27" s="12" t="s">
        <v>11</v>
      </c>
      <c r="G27" s="12" t="s">
        <v>12</v>
      </c>
      <c r="H27" s="12" t="s">
        <v>13</v>
      </c>
      <c r="I27" s="64"/>
      <c r="J27" s="64"/>
      <c r="K27" s="64"/>
      <c r="L27" s="64"/>
      <c r="M27" s="64"/>
      <c r="N27" s="64"/>
      <c r="O27" s="66"/>
    </row>
    <row r="28" spans="1:15" ht="65" customHeight="1" x14ac:dyDescent="0.2">
      <c r="A28" s="38">
        <v>1</v>
      </c>
      <c r="B28" s="39" t="s">
        <v>45</v>
      </c>
      <c r="C28" s="40">
        <v>1</v>
      </c>
      <c r="D28" s="41">
        <v>350</v>
      </c>
      <c r="E28" s="41">
        <f t="shared" ref="E28:E31" si="11">C28*D28</f>
        <v>350</v>
      </c>
      <c r="F28" s="42">
        <v>3</v>
      </c>
      <c r="G28" s="41">
        <f>350/3</f>
        <v>116.66666666666667</v>
      </c>
      <c r="H28" s="41">
        <f>F28*G28</f>
        <v>350</v>
      </c>
      <c r="I28" s="42" t="s">
        <v>38</v>
      </c>
      <c r="J28" s="42" t="s">
        <v>38</v>
      </c>
      <c r="K28" s="41">
        <f>H28*(1-L28)</f>
        <v>350</v>
      </c>
      <c r="L28" s="43">
        <v>0</v>
      </c>
      <c r="M28" s="41">
        <f>H28-K28</f>
        <v>0</v>
      </c>
      <c r="N28" s="44" t="s">
        <v>38</v>
      </c>
      <c r="O28" s="45" t="s">
        <v>44</v>
      </c>
    </row>
    <row r="29" spans="1:15" ht="110" customHeight="1" x14ac:dyDescent="0.2">
      <c r="A29" s="48">
        <v>2</v>
      </c>
      <c r="B29" s="29" t="s">
        <v>46</v>
      </c>
      <c r="C29" s="28">
        <v>1</v>
      </c>
      <c r="D29" s="30">
        <v>2400</v>
      </c>
      <c r="E29" s="30">
        <f t="shared" si="11"/>
        <v>2400</v>
      </c>
      <c r="F29" s="31">
        <v>0</v>
      </c>
      <c r="G29" s="30">
        <v>0</v>
      </c>
      <c r="H29" s="30">
        <f t="shared" ref="H29:H31" si="12">F29*G29</f>
        <v>0</v>
      </c>
      <c r="I29" s="31" t="s">
        <v>38</v>
      </c>
      <c r="J29" s="31" t="s">
        <v>38</v>
      </c>
      <c r="K29" s="30">
        <f t="shared" ref="K29:K31" si="13">H29*(1-L29)</f>
        <v>0</v>
      </c>
      <c r="L29" s="32">
        <v>0</v>
      </c>
      <c r="M29" s="30">
        <f t="shared" ref="M29:M31" si="14">H29-K29</f>
        <v>0</v>
      </c>
      <c r="N29" s="33" t="s">
        <v>38</v>
      </c>
      <c r="O29" s="49" t="s">
        <v>49</v>
      </c>
    </row>
    <row r="30" spans="1:15" ht="79" customHeight="1" x14ac:dyDescent="0.2">
      <c r="A30" s="48">
        <v>3</v>
      </c>
      <c r="B30" s="29" t="s">
        <v>47</v>
      </c>
      <c r="C30" s="28">
        <v>0</v>
      </c>
      <c r="D30" s="30">
        <v>0</v>
      </c>
      <c r="E30" s="30">
        <f t="shared" si="11"/>
        <v>0</v>
      </c>
      <c r="F30" s="31">
        <v>1</v>
      </c>
      <c r="G30" s="30">
        <f>E29-H31</f>
        <v>1466.6399999999999</v>
      </c>
      <c r="H30" s="30">
        <f t="shared" si="12"/>
        <v>1466.6399999999999</v>
      </c>
      <c r="I30" s="36">
        <v>1.5</v>
      </c>
      <c r="J30" s="36">
        <v>20</v>
      </c>
      <c r="K30" s="30">
        <f t="shared" si="13"/>
        <v>1356.6420000000001</v>
      </c>
      <c r="L30" s="32">
        <f t="shared" ref="L30" si="15">IF((I30/J30)&gt;=0.75,0.75,IF((I30/J30)&gt;=0,(I30/J30),IF((I30/J30)&lt;=0.1,0)))</f>
        <v>7.4999999999999997E-2</v>
      </c>
      <c r="M30" s="30">
        <f t="shared" si="14"/>
        <v>109.99799999999982</v>
      </c>
      <c r="N30" s="33" t="s">
        <v>39</v>
      </c>
      <c r="O30" s="49" t="s">
        <v>51</v>
      </c>
    </row>
    <row r="31" spans="1:15" ht="65" customHeight="1" thickBot="1" x14ac:dyDescent="0.25">
      <c r="A31" s="59">
        <v>4</v>
      </c>
      <c r="B31" s="60" t="s">
        <v>48</v>
      </c>
      <c r="C31" s="52">
        <v>0</v>
      </c>
      <c r="D31" s="55">
        <v>0</v>
      </c>
      <c r="E31" s="55">
        <f t="shared" si="11"/>
        <v>0</v>
      </c>
      <c r="F31" s="54">
        <v>8</v>
      </c>
      <c r="G31" s="55">
        <v>116.67</v>
      </c>
      <c r="H31" s="55">
        <f t="shared" si="12"/>
        <v>933.36</v>
      </c>
      <c r="I31" s="54" t="s">
        <v>38</v>
      </c>
      <c r="J31" s="54" t="s">
        <v>38</v>
      </c>
      <c r="K31" s="55">
        <f t="shared" si="13"/>
        <v>933.36</v>
      </c>
      <c r="L31" s="56">
        <v>0</v>
      </c>
      <c r="M31" s="55">
        <f t="shared" si="14"/>
        <v>0</v>
      </c>
      <c r="N31" s="61" t="s">
        <v>38</v>
      </c>
      <c r="O31" s="62" t="s">
        <v>50</v>
      </c>
    </row>
    <row r="32" spans="1:15" s="4" customFormat="1" ht="18" customHeight="1" thickBot="1" x14ac:dyDescent="0.25">
      <c r="A32" s="97" t="s">
        <v>14</v>
      </c>
      <c r="B32" s="98"/>
      <c r="C32" s="98"/>
      <c r="D32" s="99"/>
      <c r="E32" s="13">
        <f>SUM(E28:E31)</f>
        <v>2750</v>
      </c>
      <c r="F32" s="14"/>
      <c r="G32" s="15"/>
      <c r="H32" s="16">
        <f>SUM(H28:H31)</f>
        <v>2750</v>
      </c>
      <c r="I32" s="100"/>
      <c r="J32" s="101"/>
      <c r="K32" s="17">
        <f>SUM(K28:K31)</f>
        <v>2640.002</v>
      </c>
      <c r="L32" s="17"/>
      <c r="M32" s="17">
        <f>SUM(M28:M31)</f>
        <v>109.99799999999982</v>
      </c>
      <c r="N32"/>
    </row>
    <row r="33" spans="1:14" s="4" customFormat="1" ht="18" customHeight="1" thickBot="1" x14ac:dyDescent="0.25">
      <c r="A33" s="85" t="s">
        <v>15</v>
      </c>
      <c r="B33" s="86"/>
      <c r="C33" s="86"/>
      <c r="D33" s="87"/>
      <c r="E33" s="18">
        <v>226.88</v>
      </c>
      <c r="F33" s="19"/>
      <c r="G33" s="20"/>
      <c r="H33" s="18">
        <v>226.88</v>
      </c>
      <c r="I33" s="104"/>
      <c r="J33" s="105"/>
      <c r="K33" s="21">
        <f>K32*0.082501818</f>
        <v>217.80496452363602</v>
      </c>
      <c r="L33" s="21"/>
      <c r="M33" s="21">
        <f>H33-K33</f>
        <v>9.0750354763639791</v>
      </c>
      <c r="N33"/>
    </row>
    <row r="34" spans="1:14" s="4" customFormat="1" ht="18" customHeight="1" thickBot="1" x14ac:dyDescent="0.25">
      <c r="A34" s="85" t="s">
        <v>13</v>
      </c>
      <c r="B34" s="86"/>
      <c r="C34" s="86"/>
      <c r="D34" s="87"/>
      <c r="E34" s="22">
        <f>SUM(E32:E33)</f>
        <v>2976.88</v>
      </c>
      <c r="F34" s="23"/>
      <c r="G34" s="24"/>
      <c r="H34" s="22">
        <f>SUM(H32,H33)</f>
        <v>2976.88</v>
      </c>
      <c r="I34" s="102"/>
      <c r="J34" s="103"/>
      <c r="K34" s="25">
        <f>SUM(K32:K33)</f>
        <v>2857.806964523636</v>
      </c>
      <c r="L34" s="25"/>
      <c r="M34" s="25">
        <f>SUM(M32:M33)</f>
        <v>119.0730354763638</v>
      </c>
      <c r="N34"/>
    </row>
    <row r="35" spans="1:14" ht="12.75" customHeight="1" x14ac:dyDescent="0.2">
      <c r="A35" s="96"/>
      <c r="B35" s="9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7" spans="1:14" x14ac:dyDescent="0.2">
      <c r="B37" s="67" t="s">
        <v>16</v>
      </c>
      <c r="C37" s="68"/>
      <c r="D37" s="69"/>
      <c r="E37" s="73">
        <f>E22+E34</f>
        <v>16476.88</v>
      </c>
    </row>
    <row r="38" spans="1:14" x14ac:dyDescent="0.2">
      <c r="B38" s="70"/>
      <c r="C38" s="71"/>
      <c r="D38" s="72"/>
      <c r="E38" s="75"/>
    </row>
    <row r="40" spans="1:14" x14ac:dyDescent="0.2">
      <c r="B40" s="67" t="s">
        <v>17</v>
      </c>
      <c r="C40" s="68"/>
      <c r="D40" s="69"/>
      <c r="E40" s="73">
        <f>H22+H34</f>
        <v>16476.88</v>
      </c>
    </row>
    <row r="41" spans="1:14" x14ac:dyDescent="0.2">
      <c r="B41" s="70"/>
      <c r="C41" s="71"/>
      <c r="D41" s="72"/>
      <c r="E41" s="75"/>
    </row>
    <row r="43" spans="1:14" x14ac:dyDescent="0.2">
      <c r="B43" s="67" t="s">
        <v>18</v>
      </c>
      <c r="C43" s="68"/>
      <c r="D43" s="69"/>
      <c r="E43" s="73">
        <f>K22+K34</f>
        <v>15407.806964523637</v>
      </c>
    </row>
    <row r="44" spans="1:14" x14ac:dyDescent="0.2">
      <c r="B44" s="70"/>
      <c r="C44" s="71"/>
      <c r="D44" s="72"/>
      <c r="E44" s="75"/>
      <c r="I44" s="7"/>
      <c r="J44" s="7"/>
      <c r="K44" s="7"/>
      <c r="L44" s="7"/>
    </row>
    <row r="45" spans="1:14" x14ac:dyDescent="0.2">
      <c r="I45" s="7"/>
      <c r="J45" s="7"/>
      <c r="K45" s="7"/>
      <c r="L45" s="7"/>
    </row>
    <row r="46" spans="1:14" x14ac:dyDescent="0.2">
      <c r="B46" s="67" t="s">
        <v>19</v>
      </c>
      <c r="C46" s="68"/>
      <c r="D46" s="69"/>
      <c r="E46" s="73">
        <f>M22+M34</f>
        <v>1069.0730354763637</v>
      </c>
    </row>
    <row r="47" spans="1:14" x14ac:dyDescent="0.2">
      <c r="B47" s="70"/>
      <c r="C47" s="71"/>
      <c r="D47" s="72"/>
      <c r="E47" s="74"/>
    </row>
  </sheetData>
  <mergeCells count="50">
    <mergeCell ref="A21:D21"/>
    <mergeCell ref="I21:J21"/>
    <mergeCell ref="A22:D22"/>
    <mergeCell ref="I22:J22"/>
    <mergeCell ref="A32:D32"/>
    <mergeCell ref="I32:J32"/>
    <mergeCell ref="I26:I27"/>
    <mergeCell ref="J26:J27"/>
    <mergeCell ref="A35:B35"/>
    <mergeCell ref="F9:H9"/>
    <mergeCell ref="A9:A10"/>
    <mergeCell ref="A8:O8"/>
    <mergeCell ref="C9:E9"/>
    <mergeCell ref="B9:B10"/>
    <mergeCell ref="A20:D20"/>
    <mergeCell ref="I20:J20"/>
    <mergeCell ref="L9:L10"/>
    <mergeCell ref="O9:O10"/>
    <mergeCell ref="I9:I10"/>
    <mergeCell ref="J9:J10"/>
    <mergeCell ref="K9:K10"/>
    <mergeCell ref="M9:M10"/>
    <mergeCell ref="N9:N10"/>
    <mergeCell ref="I34:J34"/>
    <mergeCell ref="A33:D33"/>
    <mergeCell ref="A34:D34"/>
    <mergeCell ref="A25:O25"/>
    <mergeCell ref="A26:A27"/>
    <mergeCell ref="B26:B27"/>
    <mergeCell ref="C26:E26"/>
    <mergeCell ref="F26:H26"/>
    <mergeCell ref="I33:J33"/>
    <mergeCell ref="A1:E1"/>
    <mergeCell ref="A2:E2"/>
    <mergeCell ref="A3:E3"/>
    <mergeCell ref="A4:E4"/>
    <mergeCell ref="A5:E5"/>
    <mergeCell ref="B46:D47"/>
    <mergeCell ref="E46:E47"/>
    <mergeCell ref="B37:D38"/>
    <mergeCell ref="B40:D41"/>
    <mergeCell ref="B43:D44"/>
    <mergeCell ref="E43:E44"/>
    <mergeCell ref="E37:E38"/>
    <mergeCell ref="E40:E41"/>
    <mergeCell ref="K26:K27"/>
    <mergeCell ref="L26:L27"/>
    <mergeCell ref="M26:M27"/>
    <mergeCell ref="N26:N27"/>
    <mergeCell ref="O26:O27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2026-02-07T19:39:12Z</dcterms:modified>
  <cp:category/>
  <cp:contentStatus/>
</cp:coreProperties>
</file>