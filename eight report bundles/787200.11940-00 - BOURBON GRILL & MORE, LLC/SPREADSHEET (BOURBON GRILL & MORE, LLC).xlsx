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787200.11940-00 - BOURBON GRILL &amp; MORE, LLC/"/>
    </mc:Choice>
  </mc:AlternateContent>
  <xr:revisionPtr revIDLastSave="0" documentId="13_ncr:1_{A50D2C22-E09A-5448-AE75-7A53427FADEC}" xr6:coauthVersionLast="47" xr6:coauthVersionMax="47" xr10:uidLastSave="{00000000-0000-0000-0000-000000000000}"/>
  <bookViews>
    <workbookView xWindow="5000" yWindow="2680" windowWidth="2552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3" i="1" l="1"/>
  <c r="E50" i="1"/>
  <c r="E47" i="1"/>
  <c r="E44" i="1"/>
  <c r="H21" i="1"/>
  <c r="E21" i="1"/>
  <c r="L22" i="1"/>
  <c r="H22" i="1"/>
  <c r="E22" i="1"/>
  <c r="L15" i="1"/>
  <c r="H15" i="1"/>
  <c r="E15" i="1"/>
  <c r="L16" i="1"/>
  <c r="H16" i="1"/>
  <c r="E16" i="1"/>
  <c r="L18" i="1"/>
  <c r="H18" i="1"/>
  <c r="E18" i="1"/>
  <c r="L17" i="1"/>
  <c r="H17" i="1"/>
  <c r="E17" i="1"/>
  <c r="F37" i="1"/>
  <c r="E34" i="1"/>
  <c r="E33" i="1"/>
  <c r="H11" i="1"/>
  <c r="L33" i="1"/>
  <c r="L34" i="1"/>
  <c r="L35" i="1"/>
  <c r="L36" i="1"/>
  <c r="K37" i="1"/>
  <c r="H32" i="1"/>
  <c r="K32" i="1" s="1"/>
  <c r="L12" i="1"/>
  <c r="L13" i="1"/>
  <c r="L14" i="1"/>
  <c r="L19" i="1"/>
  <c r="L23" i="1"/>
  <c r="E13" i="1"/>
  <c r="H13" i="1"/>
  <c r="E14" i="1"/>
  <c r="H14" i="1"/>
  <c r="E19" i="1"/>
  <c r="H19" i="1"/>
  <c r="E20" i="1"/>
  <c r="H20" i="1"/>
  <c r="E23" i="1"/>
  <c r="H23" i="1"/>
  <c r="E38" i="1"/>
  <c r="H34" i="1"/>
  <c r="E35" i="1"/>
  <c r="H35" i="1"/>
  <c r="E36" i="1"/>
  <c r="H36" i="1"/>
  <c r="H38" i="1"/>
  <c r="E11" i="1"/>
  <c r="K18" i="1" l="1"/>
  <c r="M18" i="1" s="1"/>
  <c r="K22" i="1"/>
  <c r="M22" i="1" s="1"/>
  <c r="K21" i="1"/>
  <c r="M21" i="1" s="1"/>
  <c r="K15" i="1"/>
  <c r="M15" i="1" s="1"/>
  <c r="K16" i="1"/>
  <c r="M16" i="1" s="1"/>
  <c r="K20" i="1"/>
  <c r="M20" i="1" s="1"/>
  <c r="K17" i="1"/>
  <c r="M17" i="1" s="1"/>
  <c r="K13" i="1"/>
  <c r="M13" i="1" s="1"/>
  <c r="K38" i="1"/>
  <c r="M38" i="1" s="1"/>
  <c r="K23" i="1"/>
  <c r="M23" i="1" s="1"/>
  <c r="K19" i="1"/>
  <c r="M19" i="1" s="1"/>
  <c r="K14" i="1"/>
  <c r="M14" i="1" s="1"/>
  <c r="K36" i="1"/>
  <c r="M36" i="1" s="1"/>
  <c r="K34" i="1"/>
  <c r="M34" i="1" s="1"/>
  <c r="K35" i="1"/>
  <c r="M35" i="1" s="1"/>
  <c r="K11" i="1"/>
  <c r="M37" i="1"/>
  <c r="E37" i="1" l="1"/>
  <c r="H33" i="1"/>
  <c r="E12" i="1"/>
  <c r="H12" i="1"/>
  <c r="K12" i="1" l="1"/>
  <c r="H24" i="1"/>
  <c r="K33" i="1"/>
  <c r="M33" i="1" s="1"/>
  <c r="E24" i="1"/>
  <c r="E26" i="1" s="1"/>
  <c r="M12" i="1"/>
  <c r="E32" i="1"/>
  <c r="H39" i="1" l="1"/>
  <c r="H41" i="1" s="1"/>
  <c r="H26" i="1"/>
  <c r="E39" i="1"/>
  <c r="E41" i="1" s="1"/>
  <c r="K24" i="1"/>
  <c r="K26" i="1" s="1"/>
  <c r="K39" i="1" l="1"/>
  <c r="K41" i="1" s="1"/>
  <c r="M32" i="1"/>
  <c r="M39" i="1" s="1"/>
  <c r="M41" i="1" s="1"/>
  <c r="M11" i="1"/>
  <c r="M24" i="1" s="1"/>
  <c r="M26" i="1" s="1"/>
</calcChain>
</file>

<file path=xl/sharedStrings.xml><?xml version="1.0" encoding="utf-8"?>
<sst xmlns="http://schemas.openxmlformats.org/spreadsheetml/2006/main" count="122" uniqueCount="68">
  <si>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</si>
  <si>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</si>
  <si>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</si>
  <si>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</si>
  <si>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</si>
  <si>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</si>
  <si>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</si>
  <si>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</si>
  <si>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</si>
  <si>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</si>
  <si>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</si>
  <si>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</si>
  <si>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</si>
  <si>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</si>
  <si>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</si>
  <si>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</si>
  <si>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</si>
  <si>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</si>
  <si>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</si>
  <si>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</si>
  <si>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BOURBON GRILL &amp; MORE, LLC</t>
  </si>
  <si>
    <t xml:space="preserve">LSG MATTER #: 787200.11940-00 </t>
  </si>
  <si>
    <t>CLAIM #: DFZ8759</t>
  </si>
  <si>
    <t>DATE OF LOSS: 2/2/2025</t>
  </si>
  <si>
    <t>CAUSE OF LOSS: FIRE</t>
  </si>
  <si>
    <t>T.M.G CONSTRUCTING (912-663-1227) QUOTE TOTALING $33,000.00</t>
  </si>
  <si>
    <t>REMOVE AND REPLACE BURNT EXHAUST FAN, DUCTWORK, AND HOOD</t>
  </si>
  <si>
    <t xml:space="preserve">THIS COST WAS PROVIDED TO US IN A LUMP SUM COST. WITH HELP FROM THE VENDOR WE WERE ABLE TO BREAK THIS COST DOWN AS FOLLOWS. </t>
  </si>
  <si>
    <t>PYROCHEM FIRE SUPPRESSION SYSTEM</t>
  </si>
  <si>
    <t>LABOR</t>
  </si>
  <si>
    <t xml:space="preserve">INSPECTION </t>
  </si>
  <si>
    <t xml:space="preserve">THIS COST WAS NOT BROKEN DOWN. WITH HELP FROM THE VENDOR WE WERE ABLE TO GATHER MORE DETAILS AS FOLLOWS. </t>
  </si>
  <si>
    <t>4.6 GALLON PYRO-CHEM KITCHEN PCL-460 AGENT</t>
  </si>
  <si>
    <t>FIRE SPRINKLER HEADS</t>
  </si>
  <si>
    <t>NINE FIRE SPRINKLER HEADS. (BLOW AWAY HEADS STYLE)</t>
  </si>
  <si>
    <t>FIRE FUSIBLE LINKS</t>
  </si>
  <si>
    <t>TWO FIRE FUSIBLE LINKS.</t>
  </si>
  <si>
    <t>NEW PIPING FOR NEW HOOD</t>
  </si>
  <si>
    <t>NEW PIPING WORK TO BE DONE TO FIT NEW HOOD.</t>
  </si>
  <si>
    <t>TEN HOURS FOR ONE TECHNICIAN TO PERFORM THE INSTALLATION.</t>
  </si>
  <si>
    <t>N/A</t>
  </si>
  <si>
    <t>AVERAGE</t>
  </si>
  <si>
    <t>GREASE DUCT</t>
  </si>
  <si>
    <t>EXHAUST FAN (ECON-AIR)</t>
  </si>
  <si>
    <t>MAKE UP AIR FAN</t>
  </si>
  <si>
    <t>SINGLE WALL DUCTING (430 STAINLESS STEEL)</t>
  </si>
  <si>
    <t>DUCT SUPPORT BRACKET KIT</t>
  </si>
  <si>
    <t>DUCT ACCESS DOOR WITH HANDLE AND GREASE DAM</t>
  </si>
  <si>
    <t>3M FIRE BARRIER 2000 PLUS SILICONE</t>
  </si>
  <si>
    <t xml:space="preserve">FIRE BARRIER USED TO SEAL DUCT JOINTS. </t>
  </si>
  <si>
    <t>LABOR HOURS</t>
  </si>
  <si>
    <t xml:space="preserve">CRAIN </t>
  </si>
  <si>
    <t>ELECTRICAL DISCONNECT AND WHIP</t>
  </si>
  <si>
    <t>NEW 20 AMP ELECTRICAL DISCONNECT WITH ELECTRICAL WHIP</t>
  </si>
  <si>
    <t xml:space="preserve">LABOR HOURS FOR 3 WORKERS FOR 2 WEEKS. </t>
  </si>
  <si>
    <t>MAKE UP AIR FAN MODEL# EA-A2-20D 1.5 HORSEPOWER MOTOR.</t>
  </si>
  <si>
    <t>SUPPORT BRACKETS ("V" CLAMP STYLE)</t>
  </si>
  <si>
    <t>8 FOOT HOOD</t>
  </si>
  <si>
    <t>KITCHEN HOOD WITH STAINLESS WALL PANELS</t>
  </si>
  <si>
    <t>FIRE BARRIER DUCT WRAPPING MATERIALS</t>
  </si>
  <si>
    <t>ROUND 20 GAUGE 430 STAINLESS STEEL DUCTWORK GOING FROM HOOD UP TO EXHAUST FAN ON ROOF. ROUGHLY 90 INCHES LONG</t>
  </si>
  <si>
    <t>EXHAUST FAN (ECON-AIR) MODEL# EADU240H.</t>
  </si>
  <si>
    <t>14 INCH ADAPTER, 90 DEGREE ELBOW, DUCT TEE, DUCT ADAPTER, FLANGE, ADJUSTABLE COLLAR, ETC.</t>
  </si>
  <si>
    <t>ACCESS DOOR TO GREASE DUCT</t>
  </si>
  <si>
    <t>CRAIN TO LIFT OFF THE DAMAGED UNIT AND LIFT ON THE NEW UNIT TO THE ROOF.</t>
  </si>
  <si>
    <t>DUCT WRAPPING</t>
  </si>
  <si>
    <t xml:space="preserve">PYRO-CHEM 4.6 GALLON FIRE SUPPRESSION AGENT. WITH ADDED VENDOR MARK UP ON MATERIALS. </t>
  </si>
  <si>
    <t xml:space="preserve">FIRE SAFETY INSPECTION WITH FIRE DEPARTMENT.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</si>
</sst>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13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wrapText="1"/>
    </xf>
    <xf numFmtId="0" fontId="7" fillId="2" borderId="16" xfId="0" applyFont="1" applyFill="1" applyBorder="1" applyAlignment="1">
      <alignment horizontal="center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44" fontId="7" fillId="2" borderId="16" xfId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left" wrapText="1"/>
    </xf>
    <xf numFmtId="0" fontId="7" fillId="2" borderId="16" xfId="1" applyNumberFormat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0" fontId="6" fillId="0" borderId="0" xfId="0" applyFont="1" applyAlignment="1">
      <alignment horizontal="left" vertical="center" wrapText="1"/>
    </xf>
    <xf numFmtId="44" fontId="7" fillId="0" borderId="0" xfId="0" applyNumberFormat="1" applyFont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4" fontId="6" fillId="0" borderId="13" xfId="0" applyNumberFormat="1" applyFont="1" applyBorder="1" applyAlignment="1">
      <alignment horizontal="center" vertic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7" xfId="0" applyFont="1" applyFill="1" applyBorder="1" applyAlignment="1">
      <alignment horizontal="left" wrapText="1"/>
    </xf>
    <xf numFmtId="0" fontId="7" fillId="2" borderId="17" xfId="0" applyFont="1" applyFill="1" applyBorder="1" applyAlignment="1">
      <alignment horizontal="center"/>
    </xf>
    <xf numFmtId="44" fontId="7" fillId="2" borderId="17" xfId="1" applyFont="1" applyFill="1" applyBorder="1" applyAlignment="1">
      <alignment horizontal="center"/>
    </xf>
    <xf numFmtId="0" fontId="7" fillId="0" borderId="17" xfId="0" applyFont="1" applyBorder="1" applyAlignment="1">
      <alignment wrapText="1"/>
    </xf>
    <xf numFmtId="2" fontId="7" fillId="2" borderId="16" xfId="1" applyNumberFormat="1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44" fontId="7" fillId="2" borderId="20" xfId="1" applyFont="1" applyFill="1" applyBorder="1" applyAlignment="1">
      <alignment horizontal="center"/>
    </xf>
    <xf numFmtId="0" fontId="7" fillId="2" borderId="21" xfId="1" applyNumberFormat="1" applyFont="1" applyFill="1" applyBorder="1" applyAlignment="1">
      <alignment horizontal="center"/>
    </xf>
    <xf numFmtId="44" fontId="7" fillId="2" borderId="21" xfId="1" applyFont="1" applyFill="1" applyBorder="1" applyAlignment="1">
      <alignment horizontal="center"/>
    </xf>
    <xf numFmtId="9" fontId="7" fillId="2" borderId="21" xfId="6" applyFont="1" applyFill="1" applyBorder="1" applyAlignment="1">
      <alignment horizontal="center"/>
    </xf>
    <xf numFmtId="0" fontId="7" fillId="2" borderId="21" xfId="1" applyNumberFormat="1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left" wrapText="1"/>
    </xf>
    <xf numFmtId="0" fontId="7" fillId="2" borderId="25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left" wrapText="1"/>
    </xf>
    <xf numFmtId="0" fontId="7" fillId="2" borderId="26" xfId="0" applyFont="1" applyFill="1" applyBorder="1" applyAlignment="1">
      <alignment horizontal="center"/>
    </xf>
    <xf numFmtId="44" fontId="7" fillId="2" borderId="26" xfId="1" applyFont="1" applyFill="1" applyBorder="1" applyAlignment="1">
      <alignment horizontal="center"/>
    </xf>
    <xf numFmtId="0" fontId="7" fillId="2" borderId="26" xfId="1" applyNumberFormat="1" applyFont="1" applyFill="1" applyBorder="1" applyAlignment="1">
      <alignment horizontal="center"/>
    </xf>
    <xf numFmtId="9" fontId="7" fillId="2" borderId="26" xfId="6" applyFont="1" applyFill="1" applyBorder="1" applyAlignment="1">
      <alignment horizontal="center"/>
    </xf>
    <xf numFmtId="0" fontId="7" fillId="2" borderId="26" xfId="1" applyNumberFormat="1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left" wrapText="1"/>
    </xf>
    <xf numFmtId="0" fontId="7" fillId="2" borderId="21" xfId="0" applyFont="1" applyFill="1" applyBorder="1" applyAlignment="1">
      <alignment horizontal="left" wrapText="1"/>
    </xf>
    <xf numFmtId="0" fontId="7" fillId="2" borderId="21" xfId="0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left" wrapText="1"/>
    </xf>
    <xf numFmtId="8" fontId="6" fillId="4" borderId="7" xfId="0" applyNumberFormat="1" applyFont="1" applyFill="1" applyBorder="1" applyAlignment="1">
      <alignment horizontal="center" vertical="center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4"/>
  <sheetViews>
    <sheetView tabSelected="1" topLeftCell="A36" zoomScale="80" zoomScaleNormal="80" zoomScalePageLayoutView="90" workbookViewId="0">
      <selection activeCell="H53" sqref="H53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8" style="4" customWidth="1"/>
    <col min="7" max="8" width="17.6640625" style="4" customWidth="1"/>
    <col min="9" max="10" width="9.6640625" style="4" customWidth="1"/>
    <col min="11" max="13" width="17.6640625" style="4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71" t="s">
        <v>20</v>
      </c>
      <c r="B1" s="72"/>
      <c r="C1" s="72"/>
      <c r="D1" s="72"/>
      <c r="E1" s="73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74" t="s">
        <v>21</v>
      </c>
      <c r="B2" s="75"/>
      <c r="C2" s="75"/>
      <c r="D2" s="75"/>
      <c r="E2" s="76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74" t="s">
        <v>22</v>
      </c>
      <c r="B3" s="75"/>
      <c r="C3" s="75"/>
      <c r="D3" s="75"/>
      <c r="E3" s="76"/>
      <c r="F3" s="1"/>
      <c r="G3"/>
      <c r="H3"/>
      <c r="I3"/>
      <c r="J3" s="1"/>
      <c r="K3" s="1"/>
      <c r="L3"/>
      <c r="M3" s="1"/>
      <c r="N3" s="1"/>
      <c r="O3" s="5"/>
      <c r="P3" s="5"/>
    </row>
    <row r="4" spans="1:18" ht="15.75" customHeight="1" x14ac:dyDescent="0.2">
      <c r="A4" s="74" t="s">
        <v>23</v>
      </c>
      <c r="B4" s="75"/>
      <c r="C4" s="75"/>
      <c r="D4" s="75"/>
      <c r="E4" s="76"/>
      <c r="F4" s="6"/>
      <c r="G4"/>
      <c r="H4"/>
      <c r="I4"/>
      <c r="J4" s="7"/>
      <c r="K4" s="7"/>
      <c r="L4" s="1"/>
      <c r="O4" s="3"/>
    </row>
    <row r="5" spans="1:18" ht="15.75" customHeight="1" thickBot="1" x14ac:dyDescent="0.25">
      <c r="A5" s="77" t="s">
        <v>24</v>
      </c>
      <c r="B5" s="78"/>
      <c r="C5" s="78"/>
      <c r="D5" s="78"/>
      <c r="E5" s="79"/>
      <c r="F5" s="1"/>
      <c r="G5"/>
      <c r="H5"/>
      <c r="I5"/>
      <c r="J5" s="1"/>
      <c r="K5" s="1"/>
      <c r="L5" s="1"/>
      <c r="O5" s="3"/>
    </row>
    <row r="6" spans="1:18" x14ac:dyDescent="0.2">
      <c r="G6"/>
      <c r="H6"/>
      <c r="I6"/>
    </row>
    <row r="7" spans="1:18" ht="17" thickBot="1" x14ac:dyDescent="0.25"/>
    <row r="8" spans="1:18" s="9" customFormat="1" ht="25.5" customHeight="1" x14ac:dyDescent="0.15">
      <c r="A8" s="56" t="s">
        <v>25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8"/>
    </row>
    <row r="9" spans="1:18" ht="24" customHeight="1" x14ac:dyDescent="0.2">
      <c r="A9" s="54" t="s">
        <v>0</v>
      </c>
      <c r="B9" s="59" t="s">
        <v>1</v>
      </c>
      <c r="C9" s="51" t="s">
        <v>2</v>
      </c>
      <c r="D9" s="52"/>
      <c r="E9" s="53"/>
      <c r="F9" s="51" t="s">
        <v>3</v>
      </c>
      <c r="G9" s="52"/>
      <c r="H9" s="53"/>
      <c r="I9" s="61" t="s">
        <v>4</v>
      </c>
      <c r="J9" s="61" t="s">
        <v>5</v>
      </c>
      <c r="K9" s="61" t="s">
        <v>6</v>
      </c>
      <c r="L9" s="61" t="s">
        <v>7</v>
      </c>
      <c r="M9" s="61" t="s">
        <v>8</v>
      </c>
      <c r="N9" s="61" t="s">
        <v>9</v>
      </c>
      <c r="O9" s="54" t="s">
        <v>10</v>
      </c>
    </row>
    <row r="10" spans="1:18" s="4" customFormat="1" ht="24" customHeight="1" thickBot="1" x14ac:dyDescent="0.25">
      <c r="A10" s="55"/>
      <c r="B10" s="60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62"/>
      <c r="J10" s="62"/>
      <c r="K10" s="62"/>
      <c r="L10" s="62"/>
      <c r="M10" s="62"/>
      <c r="N10" s="62"/>
      <c r="O10" s="55"/>
    </row>
    <row r="11" spans="1:18" s="4" customFormat="1" ht="95" customHeight="1" x14ac:dyDescent="0.2">
      <c r="A11" s="89">
        <v>1</v>
      </c>
      <c r="B11" s="108" t="s">
        <v>26</v>
      </c>
      <c r="C11" s="109">
        <v>1</v>
      </c>
      <c r="D11" s="94">
        <v>33000</v>
      </c>
      <c r="E11" s="94">
        <f>C11*D11</f>
        <v>33000</v>
      </c>
      <c r="F11" s="109">
        <v>0</v>
      </c>
      <c r="G11" s="94">
        <v>0</v>
      </c>
      <c r="H11" s="94">
        <f>F11*G11</f>
        <v>0</v>
      </c>
      <c r="I11" s="93" t="s">
        <v>40</v>
      </c>
      <c r="J11" s="93" t="s">
        <v>40</v>
      </c>
      <c r="K11" s="94">
        <f>H11*(1-L11)</f>
        <v>0</v>
      </c>
      <c r="L11" s="95">
        <v>0</v>
      </c>
      <c r="M11" s="94">
        <f>H11-K11</f>
        <v>0</v>
      </c>
      <c r="N11" s="96" t="s">
        <v>40</v>
      </c>
      <c r="O11" s="97" t="s">
        <v>27</v>
      </c>
      <c r="R11" s="37"/>
    </row>
    <row r="12" spans="1:18" s="4" customFormat="1" ht="65" customHeight="1" x14ac:dyDescent="0.2">
      <c r="A12" s="110">
        <v>2</v>
      </c>
      <c r="B12" s="13" t="s">
        <v>42</v>
      </c>
      <c r="C12" s="14">
        <v>0</v>
      </c>
      <c r="D12" s="15">
        <v>0</v>
      </c>
      <c r="E12" s="15">
        <f t="shared" ref="E12:E23" si="0">C12*D12</f>
        <v>0</v>
      </c>
      <c r="F12" s="14">
        <v>2</v>
      </c>
      <c r="G12" s="15">
        <v>252</v>
      </c>
      <c r="H12" s="15">
        <f t="shared" ref="H12" si="1">F12*G12</f>
        <v>504</v>
      </c>
      <c r="I12" s="16">
        <v>21</v>
      </c>
      <c r="J12" s="16">
        <v>50</v>
      </c>
      <c r="K12" s="17">
        <f t="shared" ref="K12:K23" si="2">H12*(1-L12)</f>
        <v>292.32000000000005</v>
      </c>
      <c r="L12" s="18">
        <f t="shared" ref="L12:L23" si="3">IF((I12/J12)&gt;=0.75,0.75,IF((I12/J12)&gt;=0.1,(I12/J12),IF((I12/J12)&lt;=0.1,0.1)))</f>
        <v>0.42</v>
      </c>
      <c r="M12" s="17">
        <f t="shared" ref="M12:M23" si="4">H12-K12</f>
        <v>211.67999999999995</v>
      </c>
      <c r="N12" s="19" t="s">
        <v>41</v>
      </c>
      <c r="O12" s="111" t="s">
        <v>60</v>
      </c>
    </row>
    <row r="13" spans="1:18" s="4" customFormat="1" ht="65" customHeight="1" x14ac:dyDescent="0.2">
      <c r="A13" s="98">
        <v>3</v>
      </c>
      <c r="B13" s="20" t="s">
        <v>43</v>
      </c>
      <c r="C13" s="14">
        <v>0</v>
      </c>
      <c r="D13" s="17">
        <v>0</v>
      </c>
      <c r="E13" s="17">
        <f t="shared" si="0"/>
        <v>0</v>
      </c>
      <c r="F13" s="14">
        <v>1</v>
      </c>
      <c r="G13" s="17">
        <v>3800</v>
      </c>
      <c r="H13" s="17">
        <f>F13*G13</f>
        <v>3800</v>
      </c>
      <c r="I13" s="21">
        <v>21</v>
      </c>
      <c r="J13" s="21">
        <v>20</v>
      </c>
      <c r="K13" s="17">
        <f t="shared" si="2"/>
        <v>950</v>
      </c>
      <c r="L13" s="18">
        <f t="shared" si="3"/>
        <v>0.75</v>
      </c>
      <c r="M13" s="17">
        <f t="shared" si="4"/>
        <v>2850</v>
      </c>
      <c r="N13" s="22" t="s">
        <v>41</v>
      </c>
      <c r="O13" s="99" t="s">
        <v>61</v>
      </c>
    </row>
    <row r="14" spans="1:18" s="4" customFormat="1" ht="65" customHeight="1" x14ac:dyDescent="0.2">
      <c r="A14" s="110">
        <v>4</v>
      </c>
      <c r="B14" s="13" t="s">
        <v>44</v>
      </c>
      <c r="C14" s="14">
        <v>0</v>
      </c>
      <c r="D14" s="15">
        <v>0</v>
      </c>
      <c r="E14" s="15">
        <f t="shared" si="0"/>
        <v>0</v>
      </c>
      <c r="F14" s="14">
        <v>1</v>
      </c>
      <c r="G14" s="15">
        <v>2400</v>
      </c>
      <c r="H14" s="15">
        <f t="shared" ref="H14" si="5">F14*G14</f>
        <v>2400</v>
      </c>
      <c r="I14" s="16">
        <v>21</v>
      </c>
      <c r="J14" s="16">
        <v>20</v>
      </c>
      <c r="K14" s="17">
        <f t="shared" si="2"/>
        <v>600</v>
      </c>
      <c r="L14" s="18">
        <f t="shared" si="3"/>
        <v>0.75</v>
      </c>
      <c r="M14" s="17">
        <f t="shared" si="4"/>
        <v>1800</v>
      </c>
      <c r="N14" s="19" t="s">
        <v>41</v>
      </c>
      <c r="O14" s="111" t="s">
        <v>55</v>
      </c>
    </row>
    <row r="15" spans="1:18" s="4" customFormat="1" ht="65" customHeight="1" x14ac:dyDescent="0.2">
      <c r="A15" s="98">
        <v>5</v>
      </c>
      <c r="B15" s="20" t="s">
        <v>45</v>
      </c>
      <c r="C15" s="14">
        <v>0</v>
      </c>
      <c r="D15" s="17">
        <v>0</v>
      </c>
      <c r="E15" s="17">
        <f t="shared" ref="E15" si="6">C15*D15</f>
        <v>0</v>
      </c>
      <c r="F15" s="14">
        <v>1</v>
      </c>
      <c r="G15" s="17">
        <v>610</v>
      </c>
      <c r="H15" s="17">
        <f>F15*G15</f>
        <v>610</v>
      </c>
      <c r="I15" s="21">
        <v>21</v>
      </c>
      <c r="J15" s="21">
        <v>50</v>
      </c>
      <c r="K15" s="17">
        <f t="shared" ref="K15" si="7">H15*(1-L15)</f>
        <v>353.80000000000007</v>
      </c>
      <c r="L15" s="18">
        <f t="shared" ref="L15" si="8">IF((I15/J15)&gt;=0.75,0.75,IF((I15/J15)&gt;=0.1,(I15/J15),IF((I15/J15)&lt;=0.1,0.1)))</f>
        <v>0.42</v>
      </c>
      <c r="M15" s="17">
        <f t="shared" ref="M15" si="9">H15-K15</f>
        <v>256.19999999999993</v>
      </c>
      <c r="N15" s="22" t="s">
        <v>41</v>
      </c>
      <c r="O15" s="99" t="s">
        <v>62</v>
      </c>
    </row>
    <row r="16" spans="1:18" s="4" customFormat="1" ht="65" customHeight="1" x14ac:dyDescent="0.2">
      <c r="A16" s="98">
        <v>6</v>
      </c>
      <c r="B16" s="20" t="s">
        <v>46</v>
      </c>
      <c r="C16" s="14">
        <v>0</v>
      </c>
      <c r="D16" s="17">
        <v>0</v>
      </c>
      <c r="E16" s="17">
        <f t="shared" si="0"/>
        <v>0</v>
      </c>
      <c r="F16" s="14">
        <v>2</v>
      </c>
      <c r="G16" s="17">
        <v>28</v>
      </c>
      <c r="H16" s="17">
        <f>F16*G16</f>
        <v>56</v>
      </c>
      <c r="I16" s="21">
        <v>21</v>
      </c>
      <c r="J16" s="21">
        <v>50</v>
      </c>
      <c r="K16" s="17">
        <f t="shared" si="2"/>
        <v>32.480000000000004</v>
      </c>
      <c r="L16" s="18">
        <f t="shared" si="3"/>
        <v>0.42</v>
      </c>
      <c r="M16" s="17">
        <f t="shared" si="4"/>
        <v>23.519999999999996</v>
      </c>
      <c r="N16" s="22" t="s">
        <v>41</v>
      </c>
      <c r="O16" s="99" t="s">
        <v>56</v>
      </c>
    </row>
    <row r="17" spans="1:15" s="4" customFormat="1" ht="65" customHeight="1" x14ac:dyDescent="0.2">
      <c r="A17" s="98">
        <v>7</v>
      </c>
      <c r="B17" s="20" t="s">
        <v>47</v>
      </c>
      <c r="C17" s="14">
        <v>0</v>
      </c>
      <c r="D17" s="17">
        <v>0</v>
      </c>
      <c r="E17" s="17">
        <f t="shared" ref="E17:E18" si="10">C17*D17</f>
        <v>0</v>
      </c>
      <c r="F17" s="14">
        <v>2</v>
      </c>
      <c r="G17" s="17">
        <v>20</v>
      </c>
      <c r="H17" s="17">
        <f>F17*G17</f>
        <v>40</v>
      </c>
      <c r="I17" s="21">
        <v>21</v>
      </c>
      <c r="J17" s="21">
        <v>50</v>
      </c>
      <c r="K17" s="17">
        <f t="shared" ref="K17:K18" si="11">H17*(1-L17)</f>
        <v>23.200000000000003</v>
      </c>
      <c r="L17" s="18">
        <f t="shared" ref="L17:L18" si="12">IF((I17/J17)&gt;=0.75,0.75,IF((I17/J17)&gt;=0.1,(I17/J17),IF((I17/J17)&lt;=0.1,0.1)))</f>
        <v>0.42</v>
      </c>
      <c r="M17" s="17">
        <f t="shared" ref="M17:M18" si="13">H17-K17</f>
        <v>16.799999999999997</v>
      </c>
      <c r="N17" s="22" t="s">
        <v>41</v>
      </c>
      <c r="O17" s="99" t="s">
        <v>63</v>
      </c>
    </row>
    <row r="18" spans="1:15" s="4" customFormat="1" ht="65" customHeight="1" x14ac:dyDescent="0.2">
      <c r="A18" s="110">
        <v>8</v>
      </c>
      <c r="B18" s="13" t="s">
        <v>48</v>
      </c>
      <c r="C18" s="14">
        <v>0</v>
      </c>
      <c r="D18" s="15">
        <v>0</v>
      </c>
      <c r="E18" s="15">
        <f t="shared" si="10"/>
        <v>0</v>
      </c>
      <c r="F18" s="14">
        <v>4</v>
      </c>
      <c r="G18" s="15">
        <v>10</v>
      </c>
      <c r="H18" s="15">
        <f t="shared" ref="H18" si="14">F18*G18</f>
        <v>40</v>
      </c>
      <c r="I18" s="16">
        <v>21</v>
      </c>
      <c r="J18" s="16">
        <v>50</v>
      </c>
      <c r="K18" s="17">
        <f t="shared" si="11"/>
        <v>23.200000000000003</v>
      </c>
      <c r="L18" s="18">
        <f t="shared" si="12"/>
        <v>0.42</v>
      </c>
      <c r="M18" s="17">
        <f t="shared" si="13"/>
        <v>16.799999999999997</v>
      </c>
      <c r="N18" s="19" t="s">
        <v>41</v>
      </c>
      <c r="O18" s="111" t="s">
        <v>49</v>
      </c>
    </row>
    <row r="19" spans="1:15" s="4" customFormat="1" ht="65" customHeight="1" x14ac:dyDescent="0.2">
      <c r="A19" s="98">
        <v>9</v>
      </c>
      <c r="B19" s="20" t="s">
        <v>57</v>
      </c>
      <c r="C19" s="14">
        <v>0</v>
      </c>
      <c r="D19" s="17">
        <v>0</v>
      </c>
      <c r="E19" s="17">
        <f t="shared" si="0"/>
        <v>0</v>
      </c>
      <c r="F19" s="14">
        <v>1</v>
      </c>
      <c r="G19" s="17">
        <v>2500</v>
      </c>
      <c r="H19" s="17">
        <f>F19*G19</f>
        <v>2500</v>
      </c>
      <c r="I19" s="21">
        <v>21</v>
      </c>
      <c r="J19" s="21">
        <v>50</v>
      </c>
      <c r="K19" s="17">
        <f t="shared" si="2"/>
        <v>1450.0000000000002</v>
      </c>
      <c r="L19" s="18">
        <f t="shared" si="3"/>
        <v>0.42</v>
      </c>
      <c r="M19" s="17">
        <f t="shared" si="4"/>
        <v>1049.9999999999998</v>
      </c>
      <c r="N19" s="22" t="s">
        <v>41</v>
      </c>
      <c r="O19" s="99" t="s">
        <v>58</v>
      </c>
    </row>
    <row r="20" spans="1:15" s="4" customFormat="1" ht="65" customHeight="1" x14ac:dyDescent="0.2">
      <c r="A20" s="110">
        <v>10</v>
      </c>
      <c r="B20" s="13" t="s">
        <v>50</v>
      </c>
      <c r="C20" s="14">
        <v>0</v>
      </c>
      <c r="D20" s="15">
        <v>0</v>
      </c>
      <c r="E20" s="15">
        <f t="shared" si="0"/>
        <v>0</v>
      </c>
      <c r="F20" s="14">
        <v>240</v>
      </c>
      <c r="G20" s="15">
        <v>90</v>
      </c>
      <c r="H20" s="15">
        <f t="shared" ref="H20" si="15">F20*G20</f>
        <v>21600</v>
      </c>
      <c r="I20" s="16" t="s">
        <v>40</v>
      </c>
      <c r="J20" s="16" t="s">
        <v>40</v>
      </c>
      <c r="K20" s="17">
        <f t="shared" si="2"/>
        <v>21600</v>
      </c>
      <c r="L20" s="18">
        <v>0</v>
      </c>
      <c r="M20" s="17">
        <f t="shared" si="4"/>
        <v>0</v>
      </c>
      <c r="N20" s="19" t="s">
        <v>40</v>
      </c>
      <c r="O20" s="111" t="s">
        <v>54</v>
      </c>
    </row>
    <row r="21" spans="1:15" s="4" customFormat="1" ht="65" customHeight="1" x14ac:dyDescent="0.2">
      <c r="A21" s="98">
        <v>11</v>
      </c>
      <c r="B21" s="20" t="s">
        <v>51</v>
      </c>
      <c r="C21" s="14">
        <v>0</v>
      </c>
      <c r="D21" s="17">
        <v>0</v>
      </c>
      <c r="E21" s="17">
        <f t="shared" si="0"/>
        <v>0</v>
      </c>
      <c r="F21" s="14">
        <v>1</v>
      </c>
      <c r="G21" s="17">
        <v>500</v>
      </c>
      <c r="H21" s="17">
        <f>F21*G21</f>
        <v>500</v>
      </c>
      <c r="I21" s="21" t="s">
        <v>40</v>
      </c>
      <c r="J21" s="21" t="s">
        <v>40</v>
      </c>
      <c r="K21" s="17">
        <f t="shared" si="2"/>
        <v>500</v>
      </c>
      <c r="L21" s="18">
        <v>0</v>
      </c>
      <c r="M21" s="17">
        <f t="shared" si="4"/>
        <v>0</v>
      </c>
      <c r="N21" s="22" t="s">
        <v>40</v>
      </c>
      <c r="O21" s="99" t="s">
        <v>64</v>
      </c>
    </row>
    <row r="22" spans="1:15" s="4" customFormat="1" ht="65" customHeight="1" x14ac:dyDescent="0.2">
      <c r="A22" s="98">
        <v>12</v>
      </c>
      <c r="B22" s="20" t="s">
        <v>52</v>
      </c>
      <c r="C22" s="14">
        <v>0</v>
      </c>
      <c r="D22" s="17">
        <v>0</v>
      </c>
      <c r="E22" s="17">
        <f t="shared" ref="E22" si="16">C22*D22</f>
        <v>0</v>
      </c>
      <c r="F22" s="14">
        <v>1</v>
      </c>
      <c r="G22" s="17">
        <v>350</v>
      </c>
      <c r="H22" s="17">
        <f>F22*G22</f>
        <v>350</v>
      </c>
      <c r="I22" s="21">
        <v>21</v>
      </c>
      <c r="J22" s="21">
        <v>20</v>
      </c>
      <c r="K22" s="17">
        <f t="shared" ref="K22" si="17">H22*(1-L22)</f>
        <v>87.5</v>
      </c>
      <c r="L22" s="18">
        <f t="shared" ref="L22" si="18">IF((I22/J22)&gt;=0.75,0.75,IF((I22/J22)&gt;=0.1,(I22/J22),IF((I22/J22)&lt;=0.1,0.1)))</f>
        <v>0.75</v>
      </c>
      <c r="M22" s="17">
        <f t="shared" ref="M22" si="19">H22-K22</f>
        <v>262.5</v>
      </c>
      <c r="N22" s="22" t="s">
        <v>41</v>
      </c>
      <c r="O22" s="99" t="s">
        <v>53</v>
      </c>
    </row>
    <row r="23" spans="1:15" s="4" customFormat="1" ht="65" customHeight="1" thickBot="1" x14ac:dyDescent="0.25">
      <c r="A23" s="100">
        <v>13</v>
      </c>
      <c r="B23" s="101" t="s">
        <v>65</v>
      </c>
      <c r="C23" s="102">
        <v>0</v>
      </c>
      <c r="D23" s="103">
        <v>0</v>
      </c>
      <c r="E23" s="103">
        <f t="shared" si="0"/>
        <v>0</v>
      </c>
      <c r="F23" s="102">
        <v>2</v>
      </c>
      <c r="G23" s="103">
        <v>300</v>
      </c>
      <c r="H23" s="103">
        <f>F23*G23</f>
        <v>600</v>
      </c>
      <c r="I23" s="104">
        <v>21</v>
      </c>
      <c r="J23" s="104">
        <v>50</v>
      </c>
      <c r="K23" s="103">
        <f t="shared" si="2"/>
        <v>348.00000000000006</v>
      </c>
      <c r="L23" s="105">
        <f t="shared" si="3"/>
        <v>0.42</v>
      </c>
      <c r="M23" s="103">
        <f t="shared" si="4"/>
        <v>251.99999999999994</v>
      </c>
      <c r="N23" s="106" t="s">
        <v>41</v>
      </c>
      <c r="O23" s="107" t="s">
        <v>59</v>
      </c>
    </row>
    <row r="24" spans="1:15" s="4" customFormat="1" ht="18" customHeight="1" thickBot="1" x14ac:dyDescent="0.25">
      <c r="A24" s="45" t="s">
        <v>14</v>
      </c>
      <c r="B24" s="46"/>
      <c r="C24" s="46"/>
      <c r="D24" s="47"/>
      <c r="E24" s="23">
        <f>SUM(E11:E23)</f>
        <v>33000</v>
      </c>
      <c r="F24" s="24"/>
      <c r="G24" s="25"/>
      <c r="H24" s="26">
        <f>SUM(H11:H23)</f>
        <v>33000</v>
      </c>
      <c r="I24" s="48"/>
      <c r="J24" s="49"/>
      <c r="K24" s="27">
        <f>SUM(K11:K23)</f>
        <v>26260.5</v>
      </c>
      <c r="L24" s="27"/>
      <c r="M24" s="27">
        <f>SUM(M11:M23)</f>
        <v>6739.5000000000009</v>
      </c>
      <c r="N24"/>
    </row>
    <row r="25" spans="1:15" s="4" customFormat="1" ht="18" customHeight="1" x14ac:dyDescent="0.2">
      <c r="A25" s="40" t="s">
        <v>15</v>
      </c>
      <c r="B25" s="41"/>
      <c r="C25" s="41"/>
      <c r="D25" s="42"/>
      <c r="E25" s="28">
        <v>0</v>
      </c>
      <c r="F25" s="29"/>
      <c r="G25" s="30"/>
      <c r="H25" s="28">
        <v>0</v>
      </c>
      <c r="I25" s="43"/>
      <c r="J25" s="44"/>
      <c r="K25" s="31">
        <v>0</v>
      </c>
      <c r="L25" s="31"/>
      <c r="M25" s="31">
        <v>0</v>
      </c>
      <c r="N25"/>
    </row>
    <row r="26" spans="1:15" s="4" customFormat="1" ht="18" customHeight="1" x14ac:dyDescent="0.2">
      <c r="A26" s="40" t="s">
        <v>13</v>
      </c>
      <c r="B26" s="41"/>
      <c r="C26" s="41"/>
      <c r="D26" s="42"/>
      <c r="E26" s="32">
        <f>SUM(E24:E25)</f>
        <v>33000</v>
      </c>
      <c r="F26" s="33"/>
      <c r="G26" s="34"/>
      <c r="H26" s="32">
        <f>SUM(H24,H25)</f>
        <v>33000</v>
      </c>
      <c r="I26" s="38"/>
      <c r="J26" s="39"/>
      <c r="K26" s="35">
        <f>SUM(K24:K25)</f>
        <v>26260.5</v>
      </c>
      <c r="L26" s="35"/>
      <c r="M26" s="35">
        <f>SUM(M24:M25)</f>
        <v>6739.5000000000009</v>
      </c>
      <c r="N26"/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/>
      <c r="O27" s="2"/>
    </row>
    <row r="28" spans="1:15" ht="12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36"/>
    </row>
    <row r="29" spans="1:15" s="9" customFormat="1" ht="25.5" customHeight="1" x14ac:dyDescent="0.15">
      <c r="A29" s="112">
        <v>37550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8"/>
    </row>
    <row r="30" spans="1:15" ht="24" customHeight="1" x14ac:dyDescent="0.2">
      <c r="A30" s="54" t="s">
        <v>0</v>
      </c>
      <c r="B30" s="59" t="s">
        <v>1</v>
      </c>
      <c r="C30" s="51" t="s">
        <v>2</v>
      </c>
      <c r="D30" s="52"/>
      <c r="E30" s="53"/>
      <c r="F30" s="51" t="s">
        <v>3</v>
      </c>
      <c r="G30" s="52"/>
      <c r="H30" s="53"/>
      <c r="I30" s="61" t="s">
        <v>4</v>
      </c>
      <c r="J30" s="61" t="s">
        <v>5</v>
      </c>
      <c r="K30" s="61" t="s">
        <v>6</v>
      </c>
      <c r="L30" s="61" t="s">
        <v>7</v>
      </c>
      <c r="M30" s="61" t="s">
        <v>8</v>
      </c>
      <c r="N30" s="61" t="s">
        <v>9</v>
      </c>
      <c r="O30" s="54" t="s">
        <v>10</v>
      </c>
    </row>
    <row r="31" spans="1:15" ht="24" customHeight="1" thickBot="1" x14ac:dyDescent="0.25">
      <c r="A31" s="55"/>
      <c r="B31" s="60"/>
      <c r="C31" s="11" t="s">
        <v>11</v>
      </c>
      <c r="D31" s="10" t="s">
        <v>12</v>
      </c>
      <c r="E31" s="12" t="s">
        <v>13</v>
      </c>
      <c r="F31" s="12" t="s">
        <v>11</v>
      </c>
      <c r="G31" s="12" t="s">
        <v>12</v>
      </c>
      <c r="H31" s="12" t="s">
        <v>13</v>
      </c>
      <c r="I31" s="62"/>
      <c r="J31" s="62"/>
      <c r="K31" s="62"/>
      <c r="L31" s="62"/>
      <c r="M31" s="62"/>
      <c r="N31" s="62"/>
      <c r="O31" s="55"/>
    </row>
    <row r="32" spans="1:15" ht="65" customHeight="1" x14ac:dyDescent="0.2">
      <c r="A32" s="89">
        <v>1</v>
      </c>
      <c r="B32" s="90" t="s">
        <v>28</v>
      </c>
      <c r="C32" s="91">
        <v>1</v>
      </c>
      <c r="D32" s="92">
        <v>3525</v>
      </c>
      <c r="E32" s="92">
        <f t="shared" ref="E32:E34" si="20">C32*D32</f>
        <v>3525</v>
      </c>
      <c r="F32" s="93">
        <v>0</v>
      </c>
      <c r="G32" s="94">
        <v>0</v>
      </c>
      <c r="H32" s="94">
        <f>F32*G32</f>
        <v>0</v>
      </c>
      <c r="I32" s="93" t="s">
        <v>40</v>
      </c>
      <c r="J32" s="93" t="s">
        <v>40</v>
      </c>
      <c r="K32" s="94">
        <f>H32*(1-L32)</f>
        <v>0</v>
      </c>
      <c r="L32" s="95">
        <v>0</v>
      </c>
      <c r="M32" s="94">
        <f>H32-K32</f>
        <v>0</v>
      </c>
      <c r="N32" s="96" t="s">
        <v>40</v>
      </c>
      <c r="O32" s="97" t="s">
        <v>31</v>
      </c>
    </row>
    <row r="33" spans="1:15" ht="65" customHeight="1" x14ac:dyDescent="0.2">
      <c r="A33" s="98">
        <v>2</v>
      </c>
      <c r="B33" s="87" t="s">
        <v>32</v>
      </c>
      <c r="C33" s="85">
        <v>0</v>
      </c>
      <c r="D33" s="86">
        <v>0</v>
      </c>
      <c r="E33" s="86">
        <f t="shared" si="20"/>
        <v>0</v>
      </c>
      <c r="F33" s="21">
        <v>1</v>
      </c>
      <c r="G33" s="17">
        <v>2185</v>
      </c>
      <c r="H33" s="17">
        <f t="shared" ref="H33" si="21">F33*G33</f>
        <v>2185</v>
      </c>
      <c r="I33" s="21">
        <v>21</v>
      </c>
      <c r="J33" s="21">
        <v>30</v>
      </c>
      <c r="K33" s="17">
        <f t="shared" ref="K33:K38" si="22">H33*(1-L33)</f>
        <v>655.50000000000011</v>
      </c>
      <c r="L33" s="18">
        <f t="shared" ref="L33:L36" si="23">IF((I33/J33)&gt;=0.75,0.75,IF((I33/J33)&gt;=0,(I33/J33),IF((I33/J33)&lt;=0.1,0)))</f>
        <v>0.7</v>
      </c>
      <c r="M33" s="17">
        <f t="shared" ref="M33:M38" si="24">H33-K33</f>
        <v>1529.5</v>
      </c>
      <c r="N33" s="22" t="s">
        <v>41</v>
      </c>
      <c r="O33" s="99" t="s">
        <v>66</v>
      </c>
    </row>
    <row r="34" spans="1:15" ht="65" customHeight="1" x14ac:dyDescent="0.2">
      <c r="A34" s="98">
        <v>3</v>
      </c>
      <c r="B34" s="87" t="s">
        <v>33</v>
      </c>
      <c r="C34" s="82">
        <v>0</v>
      </c>
      <c r="D34" s="83">
        <v>0</v>
      </c>
      <c r="E34" s="83">
        <f t="shared" si="20"/>
        <v>0</v>
      </c>
      <c r="F34" s="21">
        <v>9</v>
      </c>
      <c r="G34" s="17">
        <v>80</v>
      </c>
      <c r="H34" s="17">
        <f t="shared" ref="H34:H35" si="25">F34*G34</f>
        <v>720</v>
      </c>
      <c r="I34" s="21">
        <v>21</v>
      </c>
      <c r="J34" s="21">
        <v>30</v>
      </c>
      <c r="K34" s="17">
        <f t="shared" si="22"/>
        <v>216.00000000000003</v>
      </c>
      <c r="L34" s="18">
        <f t="shared" si="23"/>
        <v>0.7</v>
      </c>
      <c r="M34" s="17">
        <f t="shared" si="24"/>
        <v>504</v>
      </c>
      <c r="N34" s="22" t="s">
        <v>41</v>
      </c>
      <c r="O34" s="99" t="s">
        <v>34</v>
      </c>
    </row>
    <row r="35" spans="1:15" ht="65" customHeight="1" x14ac:dyDescent="0.2">
      <c r="A35" s="98">
        <v>4</v>
      </c>
      <c r="B35" s="84" t="s">
        <v>35</v>
      </c>
      <c r="C35" s="85">
        <v>0</v>
      </c>
      <c r="D35" s="86">
        <v>0</v>
      </c>
      <c r="E35" s="86">
        <f t="shared" ref="E35" si="26">C35*D35</f>
        <v>0</v>
      </c>
      <c r="F35" s="21">
        <v>2</v>
      </c>
      <c r="G35" s="17">
        <v>10</v>
      </c>
      <c r="H35" s="17">
        <f t="shared" si="25"/>
        <v>20</v>
      </c>
      <c r="I35" s="21">
        <v>21</v>
      </c>
      <c r="J35" s="21">
        <v>30</v>
      </c>
      <c r="K35" s="17">
        <f t="shared" si="22"/>
        <v>6.0000000000000009</v>
      </c>
      <c r="L35" s="18">
        <f t="shared" si="23"/>
        <v>0.7</v>
      </c>
      <c r="M35" s="17">
        <f t="shared" si="24"/>
        <v>14</v>
      </c>
      <c r="N35" s="22" t="s">
        <v>41</v>
      </c>
      <c r="O35" s="99" t="s">
        <v>36</v>
      </c>
    </row>
    <row r="36" spans="1:15" ht="65" customHeight="1" x14ac:dyDescent="0.2">
      <c r="A36" s="98">
        <v>5</v>
      </c>
      <c r="B36" s="81" t="s">
        <v>37</v>
      </c>
      <c r="C36" s="82">
        <v>0</v>
      </c>
      <c r="D36" s="83">
        <v>0</v>
      </c>
      <c r="E36" s="83">
        <f t="shared" ref="E36" si="27">C36*D36</f>
        <v>0</v>
      </c>
      <c r="F36" s="21">
        <v>1</v>
      </c>
      <c r="G36" s="17">
        <v>600</v>
      </c>
      <c r="H36" s="17">
        <f t="shared" ref="H36:H38" si="28">F36*G36</f>
        <v>600</v>
      </c>
      <c r="I36" s="21">
        <v>21</v>
      </c>
      <c r="J36" s="21">
        <v>30</v>
      </c>
      <c r="K36" s="17">
        <f t="shared" si="22"/>
        <v>180.00000000000003</v>
      </c>
      <c r="L36" s="18">
        <f t="shared" si="23"/>
        <v>0.7</v>
      </c>
      <c r="M36" s="17">
        <f t="shared" si="24"/>
        <v>420</v>
      </c>
      <c r="N36" s="22" t="s">
        <v>41</v>
      </c>
      <c r="O36" s="99" t="s">
        <v>38</v>
      </c>
    </row>
    <row r="37" spans="1:15" ht="65" customHeight="1" x14ac:dyDescent="0.2">
      <c r="A37" s="98">
        <v>6</v>
      </c>
      <c r="B37" s="20" t="s">
        <v>29</v>
      </c>
      <c r="C37" s="14">
        <v>1</v>
      </c>
      <c r="D37" s="17">
        <v>850</v>
      </c>
      <c r="E37" s="17">
        <f>C37*D37</f>
        <v>850</v>
      </c>
      <c r="F37" s="88">
        <f>H37/G37</f>
        <v>10</v>
      </c>
      <c r="G37" s="17">
        <v>85</v>
      </c>
      <c r="H37" s="17">
        <v>850</v>
      </c>
      <c r="I37" s="21" t="s">
        <v>40</v>
      </c>
      <c r="J37" s="21" t="s">
        <v>40</v>
      </c>
      <c r="K37" s="17">
        <f t="shared" si="22"/>
        <v>850</v>
      </c>
      <c r="L37" s="18">
        <v>0</v>
      </c>
      <c r="M37" s="17">
        <f t="shared" si="24"/>
        <v>0</v>
      </c>
      <c r="N37" s="22" t="s">
        <v>40</v>
      </c>
      <c r="O37" s="99" t="s">
        <v>39</v>
      </c>
    </row>
    <row r="38" spans="1:15" ht="65" customHeight="1" thickBot="1" x14ac:dyDescent="0.25">
      <c r="A38" s="100">
        <v>7</v>
      </c>
      <c r="B38" s="101" t="s">
        <v>30</v>
      </c>
      <c r="C38" s="102">
        <v>1</v>
      </c>
      <c r="D38" s="103">
        <v>175</v>
      </c>
      <c r="E38" s="103">
        <f>C38*D38</f>
        <v>175</v>
      </c>
      <c r="F38" s="104">
        <v>1</v>
      </c>
      <c r="G38" s="103">
        <v>175</v>
      </c>
      <c r="H38" s="103">
        <f t="shared" si="28"/>
        <v>175</v>
      </c>
      <c r="I38" s="104" t="s">
        <v>40</v>
      </c>
      <c r="J38" s="104" t="s">
        <v>40</v>
      </c>
      <c r="K38" s="103">
        <f t="shared" si="22"/>
        <v>175</v>
      </c>
      <c r="L38" s="105">
        <v>0</v>
      </c>
      <c r="M38" s="103">
        <f t="shared" si="24"/>
        <v>0</v>
      </c>
      <c r="N38" s="106" t="s">
        <v>40</v>
      </c>
      <c r="O38" s="107" t="s">
        <v>67</v>
      </c>
    </row>
    <row r="39" spans="1:15" s="4" customFormat="1" ht="18" customHeight="1" thickBot="1" x14ac:dyDescent="0.25">
      <c r="A39" s="45" t="s">
        <v>14</v>
      </c>
      <c r="B39" s="46"/>
      <c r="C39" s="46"/>
      <c r="D39" s="47"/>
      <c r="E39" s="23">
        <f>SUM(E32:E38)</f>
        <v>4550</v>
      </c>
      <c r="F39" s="24"/>
      <c r="G39" s="25"/>
      <c r="H39" s="26">
        <f>SUM(H32:H38)</f>
        <v>4550</v>
      </c>
      <c r="I39" s="48"/>
      <c r="J39" s="49"/>
      <c r="K39" s="27">
        <f>SUM(K32:K38)</f>
        <v>2082.5</v>
      </c>
      <c r="L39" s="27"/>
      <c r="M39" s="27">
        <f>SUM(M32:M38)</f>
        <v>2467.5</v>
      </c>
      <c r="N39"/>
    </row>
    <row r="40" spans="1:15" s="4" customFormat="1" ht="18" customHeight="1" x14ac:dyDescent="0.2">
      <c r="A40" s="40" t="s">
        <v>15</v>
      </c>
      <c r="B40" s="41"/>
      <c r="C40" s="41"/>
      <c r="D40" s="42"/>
      <c r="E40" s="28">
        <v>0</v>
      </c>
      <c r="F40" s="29"/>
      <c r="G40" s="30"/>
      <c r="H40" s="28">
        <v>0</v>
      </c>
      <c r="I40" s="43"/>
      <c r="J40" s="44"/>
      <c r="K40" s="31">
        <v>0</v>
      </c>
      <c r="L40" s="31"/>
      <c r="M40" s="31">
        <v>0</v>
      </c>
      <c r="N40"/>
    </row>
    <row r="41" spans="1:15" s="4" customFormat="1" ht="18" customHeight="1" x14ac:dyDescent="0.2">
      <c r="A41" s="40" t="s">
        <v>13</v>
      </c>
      <c r="B41" s="41"/>
      <c r="C41" s="41"/>
      <c r="D41" s="42"/>
      <c r="E41" s="32">
        <f>SUM(E39:E40)</f>
        <v>4550</v>
      </c>
      <c r="F41" s="33"/>
      <c r="G41" s="34"/>
      <c r="H41" s="32">
        <f>SUM(H39,H40)</f>
        <v>4550</v>
      </c>
      <c r="I41" s="38"/>
      <c r="J41" s="39"/>
      <c r="K41" s="35">
        <f>SUM(K39:K40)</f>
        <v>2082.5</v>
      </c>
      <c r="L41" s="35"/>
      <c r="M41" s="35">
        <f>SUM(M39:M40)</f>
        <v>2467.5</v>
      </c>
      <c r="N41"/>
    </row>
    <row r="42" spans="1:15" ht="12.75" customHeight="1" x14ac:dyDescent="0.2">
      <c r="A42" s="50"/>
      <c r="B42" s="5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4" spans="1:15" x14ac:dyDescent="0.2">
      <c r="B44" s="63" t="s">
        <v>16</v>
      </c>
      <c r="C44" s="64"/>
      <c r="D44" s="65"/>
      <c r="E44" s="69">
        <f>E41+E26</f>
        <v>37550</v>
      </c>
    </row>
    <row r="45" spans="1:15" x14ac:dyDescent="0.2">
      <c r="B45" s="66"/>
      <c r="C45" s="67"/>
      <c r="D45" s="68"/>
      <c r="E45" s="70"/>
    </row>
    <row r="47" spans="1:15" x14ac:dyDescent="0.2">
      <c r="B47" s="63" t="s">
        <v>17</v>
      </c>
      <c r="C47" s="64"/>
      <c r="D47" s="65"/>
      <c r="E47" s="69">
        <f>H41+H26</f>
        <v>37550</v>
      </c>
    </row>
    <row r="48" spans="1:15" x14ac:dyDescent="0.2">
      <c r="B48" s="66"/>
      <c r="C48" s="67"/>
      <c r="D48" s="68"/>
      <c r="E48" s="70"/>
    </row>
    <row r="50" spans="2:12" x14ac:dyDescent="0.2">
      <c r="B50" s="63" t="s">
        <v>18</v>
      </c>
      <c r="C50" s="64"/>
      <c r="D50" s="65"/>
      <c r="E50" s="69">
        <f>K41+K26</f>
        <v>28343</v>
      </c>
    </row>
    <row r="51" spans="2:12" x14ac:dyDescent="0.2">
      <c r="B51" s="66"/>
      <c r="C51" s="67"/>
      <c r="D51" s="68"/>
      <c r="E51" s="70"/>
      <c r="I51" s="7"/>
      <c r="J51" s="7"/>
      <c r="K51" s="7"/>
      <c r="L51" s="7"/>
    </row>
    <row r="52" spans="2:12" x14ac:dyDescent="0.2">
      <c r="I52" s="7"/>
      <c r="J52" s="7"/>
      <c r="K52" s="7"/>
      <c r="L52" s="7"/>
    </row>
    <row r="53" spans="2:12" x14ac:dyDescent="0.2">
      <c r="B53" s="63" t="s">
        <v>19</v>
      </c>
      <c r="C53" s="64"/>
      <c r="D53" s="65"/>
      <c r="E53" s="69">
        <f>M41+M26</f>
        <v>9207</v>
      </c>
    </row>
    <row r="54" spans="2:12" x14ac:dyDescent="0.2">
      <c r="B54" s="66"/>
      <c r="C54" s="67"/>
      <c r="D54" s="68"/>
      <c r="E54" s="80"/>
    </row>
  </sheetData>
  <mergeCells count="50">
    <mergeCell ref="B53:D54"/>
    <mergeCell ref="E53:E54"/>
    <mergeCell ref="B44:D45"/>
    <mergeCell ref="B47:D48"/>
    <mergeCell ref="A29:O29"/>
    <mergeCell ref="A30:A31"/>
    <mergeCell ref="B30:B31"/>
    <mergeCell ref="C30:E30"/>
    <mergeCell ref="F30:H30"/>
    <mergeCell ref="I30:I31"/>
    <mergeCell ref="J30:J31"/>
    <mergeCell ref="K30:K31"/>
    <mergeCell ref="L30:L31"/>
    <mergeCell ref="M30:M31"/>
    <mergeCell ref="N30:N31"/>
    <mergeCell ref="O30:O31"/>
    <mergeCell ref="B50:D51"/>
    <mergeCell ref="E50:E51"/>
    <mergeCell ref="A1:E1"/>
    <mergeCell ref="A2:E2"/>
    <mergeCell ref="A3:E3"/>
    <mergeCell ref="A4:E4"/>
    <mergeCell ref="A5:E5"/>
    <mergeCell ref="E44:E45"/>
    <mergeCell ref="E47:E48"/>
    <mergeCell ref="A40:D40"/>
    <mergeCell ref="A41:D41"/>
    <mergeCell ref="A42:B42"/>
    <mergeCell ref="F9:H9"/>
    <mergeCell ref="A9:A10"/>
    <mergeCell ref="A8:O8"/>
    <mergeCell ref="C9:E9"/>
    <mergeCell ref="B9:B10"/>
    <mergeCell ref="A24:D24"/>
    <mergeCell ref="I24:J24"/>
    <mergeCell ref="L9:L10"/>
    <mergeCell ref="O9:O10"/>
    <mergeCell ref="I9:I10"/>
    <mergeCell ref="J9:J10"/>
    <mergeCell ref="K9:K10"/>
    <mergeCell ref="M9:M10"/>
    <mergeCell ref="N9:N10"/>
    <mergeCell ref="I41:J41"/>
    <mergeCell ref="A25:D25"/>
    <mergeCell ref="I25:J25"/>
    <mergeCell ref="A26:D26"/>
    <mergeCell ref="I26:J26"/>
    <mergeCell ref="A39:D39"/>
    <mergeCell ref="I39:J39"/>
    <mergeCell ref="I40:J40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2025-03-17T17:02:53Z</dcterms:modified>
  <cp:category/>
  <cp:contentStatus/>
</cp:coreProperties>
</file>