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Becnel Rental Tools/"/>
    </mc:Choice>
  </mc:AlternateContent>
  <xr:revisionPtr revIDLastSave="0" documentId="13_ncr:1_{EF014EFB-D37A-494A-BE50-184DC0DD3EDB}" xr6:coauthVersionLast="47" xr6:coauthVersionMax="47" xr10:uidLastSave="{00000000-0000-0000-0000-000000000000}"/>
  <bookViews>
    <workbookView xWindow="3080" yWindow="256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5" i="1" l="1"/>
  <c r="E42" i="1"/>
  <c r="E39" i="1"/>
  <c r="E36" i="1"/>
  <c r="K30" i="1"/>
  <c r="M30" i="1" s="1"/>
  <c r="K29" i="1"/>
  <c r="M29" i="1" s="1"/>
  <c r="L28" i="1"/>
  <c r="K28" i="1"/>
  <c r="M28" i="1" s="1"/>
  <c r="M27" i="1"/>
  <c r="L27" i="1"/>
  <c r="K27" i="1"/>
  <c r="L26" i="1"/>
  <c r="K26" i="1" s="1"/>
  <c r="M26" i="1" s="1"/>
  <c r="L25" i="1"/>
  <c r="K25" i="1"/>
  <c r="M25" i="1" s="1"/>
  <c r="H30" i="1"/>
  <c r="E30" i="1"/>
  <c r="H29" i="1"/>
  <c r="E29" i="1"/>
  <c r="H28" i="1"/>
  <c r="E28" i="1"/>
  <c r="H27" i="1"/>
  <c r="E27" i="1"/>
  <c r="H26" i="1"/>
  <c r="E26" i="1"/>
  <c r="H25" i="1"/>
  <c r="E25" i="1"/>
  <c r="H11" i="1"/>
  <c r="L11" i="1"/>
  <c r="L12" i="1"/>
  <c r="L13" i="1"/>
  <c r="L14" i="1"/>
  <c r="E13" i="1"/>
  <c r="H13" i="1"/>
  <c r="E14" i="1"/>
  <c r="H14" i="1"/>
  <c r="E15" i="1"/>
  <c r="H15" i="1"/>
  <c r="E16" i="1"/>
  <c r="H16" i="1"/>
  <c r="E11" i="1"/>
  <c r="K16" i="1" l="1"/>
  <c r="M16" i="1" s="1"/>
  <c r="K15" i="1"/>
  <c r="M15" i="1" s="1"/>
  <c r="K14" i="1"/>
  <c r="M14" i="1" s="1"/>
  <c r="K13" i="1"/>
  <c r="M13" i="1" s="1"/>
  <c r="K11" i="1"/>
  <c r="E12" i="1" l="1"/>
  <c r="H12" i="1"/>
  <c r="K12" i="1" s="1"/>
  <c r="E17" i="1" l="1"/>
  <c r="E19" i="1" s="1"/>
  <c r="M12" i="1"/>
  <c r="H31" i="1" l="1"/>
  <c r="H33" i="1" s="1"/>
  <c r="H17" i="1"/>
  <c r="H19" i="1" s="1"/>
  <c r="E31" i="1"/>
  <c r="E33" i="1" s="1"/>
  <c r="K17" i="1"/>
  <c r="K19" i="1" s="1"/>
  <c r="K31" i="1" l="1"/>
  <c r="K33" i="1" s="1"/>
  <c r="M31" i="1"/>
  <c r="M33" i="1" s="1"/>
  <c r="M11" i="1"/>
  <c r="M17" i="1" s="1"/>
  <c r="M19" i="1" s="1"/>
</calcChain>
</file>

<file path=xl/sharedStrings.xml><?xml version="1.0" encoding="utf-8"?>
<sst xmlns="http://schemas.openxmlformats.org/spreadsheetml/2006/main" count="96" uniqueCount="43">
  <si>
    <t>COLOR DENOTES PRICING DISCREPANCY</t>
  </si>
  <si>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</si>
  <si>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</si>
  <si>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</si>
  <si>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</si>
  <si>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</si>
  <si>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</si>
  <si>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</si>
  <si>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</si>
  <si>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</si>
  <si>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</si>
  <si>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</si>
  <si>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</si>
  <si>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</si>
  <si>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</si>
  <si>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</si>
  <si>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</si>
  <si>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</si>
  <si>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</si>
  <si>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</si>
  <si>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</si>
  <si>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BECNEL RENTAL TOOLS</t>
  </si>
  <si>
    <t xml:space="preserve">LSG MATTER #: 787200.12739-00 </t>
  </si>
  <si>
    <t>CLAIM #: FQD1120</t>
  </si>
  <si>
    <t>DATE OF LOSS: 12/3/2025</t>
  </si>
  <si>
    <t>CAUSE OF LOSS: VANDALISM / THEFT</t>
  </si>
  <si>
    <t>WINCHESTER MODEL 1 - VACUUM TO 3,000 PSI DIGITAL PRESSURE GAUGE</t>
  </si>
  <si>
    <t>WINCHESTER MODEL 2 - 0 TO 10,000 PSI DIGITAL PRESSURE GAUGE</t>
  </si>
  <si>
    <t>MAGNUM PRO MVP-600 HANDPUMP</t>
  </si>
  <si>
    <t>MAGNUM PRO M-10 - 10,000 PSI HYDRAULIC PUMP</t>
  </si>
  <si>
    <t>SHIPPING AND HANDLING COSTS TO CUSTOMER</t>
  </si>
  <si>
    <t>CREDIT CARD FEE CHARGE TO CUSTOMER (3.50%)</t>
  </si>
  <si>
    <t>EAST HILL INSTRUMENTS, INC (516-723-9900) INVOICE # 31870 (THIS ORDER WAS FOR HALF OF THE TOTAL LOSS)</t>
  </si>
  <si>
    <t>N/A</t>
  </si>
  <si>
    <t>AVERAGE</t>
  </si>
  <si>
    <t>EAST HILL INSTRUMENTS, INC (516-723-9900) (SECOND ORDER IS REQUIRED TO BRING INSURED BACK TO PRE-LOSS STATE)</t>
  </si>
  <si>
    <t>MAGNUM PRO M-10 HYDRAULIC CALIBRATION HAND PUMP 10,000PSI</t>
  </si>
  <si>
    <t>MANGUM PRO MVP-600 PNEUMATIC CALIBRATION HAND PUMP 600PSI</t>
  </si>
  <si>
    <t>WINCHESTER ENGINEERING MODEL 1. AUTO RANGING DIGITAL GAUGE.</t>
  </si>
  <si>
    <t xml:space="preserve">SHIPPING AND HANDLING COSTS. </t>
  </si>
  <si>
    <t>CREDIT CARD FEE TO BE CHARGED TO THE CUSTOMER. (NOTE: WE LEAVE THIS COST UP TO THE CARRIER FOR CONSIDERATION)</t>
  </si>
  <si>
    <t>WINCHESTER ENGINEERING MODEL 2. WIDE RANGE DIGITAL PRESSURE GAUGE.</t>
  </si>
  <si>
    <t>MAGNUM PRO MVP-600 PNEUMATIC CALIBRATION HAND PUMP 600PSI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</si>
</sst>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6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2" borderId="16" xfId="0" applyFont="1" applyFill="1" applyBorder="1" applyAlignment="1">
      <alignment horizontal="center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44" fontId="7" fillId="2" borderId="16" xfId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left" wrapText="1"/>
    </xf>
    <xf numFmtId="0" fontId="7" fillId="2" borderId="16" xfId="1" applyNumberFormat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44" fontId="7" fillId="0" borderId="0" xfId="0" applyNumberFormat="1" applyFont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left" wrapText="1"/>
    </xf>
    <xf numFmtId="0" fontId="7" fillId="4" borderId="23" xfId="0" applyFont="1" applyFill="1" applyBorder="1" applyAlignment="1">
      <alignment horizontal="center"/>
    </xf>
    <xf numFmtId="44" fontId="7" fillId="4" borderId="23" xfId="1" applyFont="1" applyFill="1" applyBorder="1" applyAlignment="1">
      <alignment horizontal="center"/>
    </xf>
    <xf numFmtId="0" fontId="7" fillId="4" borderId="23" xfId="1" applyNumberFormat="1" applyFont="1" applyFill="1" applyBorder="1" applyAlignment="1">
      <alignment horizontal="center"/>
    </xf>
    <xf numFmtId="9" fontId="7" fillId="4" borderId="23" xfId="6" applyFont="1" applyFill="1" applyBorder="1" applyAlignment="1">
      <alignment horizontal="center"/>
    </xf>
    <xf numFmtId="0" fontId="7" fillId="4" borderId="23" xfId="1" applyNumberFormat="1" applyFont="1" applyFill="1" applyBorder="1" applyAlignment="1">
      <alignment horizontal="center" wrapText="1"/>
    </xf>
    <xf numFmtId="0" fontId="7" fillId="4" borderId="24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6"/>
  <sheetViews>
    <sheetView tabSelected="1" topLeftCell="A25" zoomScale="80" zoomScaleNormal="80" zoomScalePageLayoutView="90" workbookViewId="0">
      <selection activeCell="H27" sqref="H27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5" customWidth="1"/>
    <col min="4" max="5" width="17.6640625" style="5" customWidth="1"/>
    <col min="6" max="6" width="5.6640625" style="5" customWidth="1"/>
    <col min="7" max="8" width="17.6640625" style="5" customWidth="1"/>
    <col min="9" max="10" width="9.6640625" style="5" customWidth="1"/>
    <col min="11" max="13" width="17.6640625" style="5" customWidth="1"/>
    <col min="14" max="14" width="13.6640625" style="5" customWidth="1"/>
    <col min="15" max="15" width="47.6640625" style="9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80" t="s">
        <v>21</v>
      </c>
      <c r="B1" s="81"/>
      <c r="C1" s="81"/>
      <c r="D1" s="81"/>
      <c r="E1" s="82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83" t="s">
        <v>22</v>
      </c>
      <c r="B2" s="84"/>
      <c r="C2" s="84"/>
      <c r="D2" s="84"/>
      <c r="E2" s="85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83" t="s">
        <v>23</v>
      </c>
      <c r="B3" s="84"/>
      <c r="C3" s="84"/>
      <c r="D3" s="84"/>
      <c r="E3" s="85"/>
      <c r="F3" s="1"/>
      <c r="G3" s="4"/>
      <c r="H3" s="4"/>
      <c r="I3" s="4"/>
      <c r="J3" s="1"/>
      <c r="K3" s="1"/>
      <c r="L3"/>
      <c r="M3" s="1"/>
      <c r="N3" s="1"/>
      <c r="O3" s="6"/>
      <c r="P3" s="6"/>
    </row>
    <row r="4" spans="1:18" ht="15.75" customHeight="1" x14ac:dyDescent="0.2">
      <c r="A4" s="83" t="s">
        <v>24</v>
      </c>
      <c r="B4" s="84"/>
      <c r="C4" s="84"/>
      <c r="D4" s="84"/>
      <c r="E4" s="85"/>
      <c r="F4" s="7"/>
      <c r="G4" s="92" t="s">
        <v>0</v>
      </c>
      <c r="H4" s="93"/>
      <c r="I4" s="4"/>
      <c r="J4" s="8"/>
      <c r="K4" s="8"/>
      <c r="L4" s="1"/>
      <c r="O4" s="3"/>
    </row>
    <row r="5" spans="1:18" ht="15.75" customHeight="1" x14ac:dyDescent="0.2">
      <c r="A5" s="86" t="s">
        <v>25</v>
      </c>
      <c r="B5" s="87"/>
      <c r="C5" s="87"/>
      <c r="D5" s="87"/>
      <c r="E5" s="88"/>
      <c r="F5" s="1"/>
      <c r="G5" s="94"/>
      <c r="H5" s="95"/>
      <c r="I5" s="4"/>
      <c r="J5" s="1"/>
      <c r="K5" s="1"/>
      <c r="L5" s="1"/>
      <c r="O5" s="3"/>
    </row>
    <row r="8" spans="1:18" s="10" customFormat="1" ht="25.5" customHeight="1" x14ac:dyDescent="0.15">
      <c r="A8" s="67" t="s">
        <v>32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9"/>
    </row>
    <row r="9" spans="1:18" ht="24" customHeight="1" x14ac:dyDescent="0.2">
      <c r="A9" s="70" t="s">
        <v>1</v>
      </c>
      <c r="B9" s="72" t="s">
        <v>2</v>
      </c>
      <c r="C9" s="74" t="s">
        <v>3</v>
      </c>
      <c r="D9" s="75"/>
      <c r="E9" s="76"/>
      <c r="F9" s="74" t="s">
        <v>4</v>
      </c>
      <c r="G9" s="75"/>
      <c r="H9" s="76"/>
      <c r="I9" s="77" t="s">
        <v>5</v>
      </c>
      <c r="J9" s="77" t="s">
        <v>6</v>
      </c>
      <c r="K9" s="77" t="s">
        <v>7</v>
      </c>
      <c r="L9" s="77" t="s">
        <v>8</v>
      </c>
      <c r="M9" s="77" t="s">
        <v>9</v>
      </c>
      <c r="N9" s="77" t="s">
        <v>10</v>
      </c>
      <c r="O9" s="70" t="s">
        <v>11</v>
      </c>
    </row>
    <row r="10" spans="1:18" s="5" customFormat="1" ht="24" customHeight="1" thickBot="1" x14ac:dyDescent="0.25">
      <c r="A10" s="71"/>
      <c r="B10" s="73"/>
      <c r="C10" s="12" t="s">
        <v>12</v>
      </c>
      <c r="D10" s="11" t="s">
        <v>13</v>
      </c>
      <c r="E10" s="13" t="s">
        <v>14</v>
      </c>
      <c r="F10" s="13" t="s">
        <v>12</v>
      </c>
      <c r="G10" s="13" t="s">
        <v>13</v>
      </c>
      <c r="H10" s="13" t="s">
        <v>14</v>
      </c>
      <c r="I10" s="78"/>
      <c r="J10" s="78"/>
      <c r="K10" s="78"/>
      <c r="L10" s="78"/>
      <c r="M10" s="78"/>
      <c r="N10" s="78"/>
      <c r="O10" s="71"/>
    </row>
    <row r="11" spans="1:18" s="5" customFormat="1" ht="104" customHeight="1" x14ac:dyDescent="0.2">
      <c r="A11" s="39">
        <v>1</v>
      </c>
      <c r="B11" s="40" t="s">
        <v>26</v>
      </c>
      <c r="C11" s="41">
        <v>1</v>
      </c>
      <c r="D11" s="42">
        <v>1749</v>
      </c>
      <c r="E11" s="42">
        <f>C11*D11</f>
        <v>1749</v>
      </c>
      <c r="F11" s="41">
        <v>1</v>
      </c>
      <c r="G11" s="42">
        <v>1749</v>
      </c>
      <c r="H11" s="42">
        <f>F11*G11</f>
        <v>1749</v>
      </c>
      <c r="I11" s="43">
        <v>2</v>
      </c>
      <c r="J11" s="43">
        <v>10</v>
      </c>
      <c r="K11" s="42">
        <f>H11*(1-L11)</f>
        <v>1399.2</v>
      </c>
      <c r="L11" s="44">
        <f>IF((I11/J11)&gt;=0.75,0.75,IF((I11/J11)&gt;=0,(I11/J11),IF((I11/J11)&lt;=1,0)))</f>
        <v>0.2</v>
      </c>
      <c r="M11" s="42">
        <f>H11-K11</f>
        <v>349.79999999999995</v>
      </c>
      <c r="N11" s="45" t="s">
        <v>34</v>
      </c>
      <c r="O11" s="46" t="s">
        <v>38</v>
      </c>
      <c r="R11" s="38"/>
    </row>
    <row r="12" spans="1:18" s="5" customFormat="1" ht="70" customHeight="1" x14ac:dyDescent="0.2">
      <c r="A12" s="47">
        <v>2</v>
      </c>
      <c r="B12" s="21" t="s">
        <v>28</v>
      </c>
      <c r="C12" s="15">
        <v>1</v>
      </c>
      <c r="D12" s="16">
        <v>1099</v>
      </c>
      <c r="E12" s="16">
        <f t="shared" ref="E12:E16" si="0">C12*D12</f>
        <v>1099</v>
      </c>
      <c r="F12" s="15">
        <v>1</v>
      </c>
      <c r="G12" s="16">
        <v>1099</v>
      </c>
      <c r="H12" s="16">
        <f t="shared" ref="H12" si="1">F12*G12</f>
        <v>1099</v>
      </c>
      <c r="I12" s="17">
        <v>2</v>
      </c>
      <c r="J12" s="17">
        <v>10</v>
      </c>
      <c r="K12" s="18">
        <f t="shared" ref="K12:K16" si="2">H12*(1-L12)</f>
        <v>879.2</v>
      </c>
      <c r="L12" s="19">
        <f t="shared" ref="L12:L14" si="3">IF((I12/J12)&gt;=0.75,0.75,IF((I12/J12)&gt;=0.1,(I12/J12),IF((I12/J12)&lt;=0.1,0.1)))</f>
        <v>0.2</v>
      </c>
      <c r="M12" s="18">
        <f t="shared" ref="M12:M16" si="4">H12-K12</f>
        <v>219.79999999999995</v>
      </c>
      <c r="N12" s="20" t="s">
        <v>34</v>
      </c>
      <c r="O12" s="48" t="s">
        <v>42</v>
      </c>
    </row>
    <row r="13" spans="1:18" s="5" customFormat="1" ht="60" customHeight="1" x14ac:dyDescent="0.2">
      <c r="A13" s="49">
        <v>3</v>
      </c>
      <c r="B13" s="14" t="s">
        <v>29</v>
      </c>
      <c r="C13" s="15">
        <v>1</v>
      </c>
      <c r="D13" s="18">
        <v>1399</v>
      </c>
      <c r="E13" s="18">
        <f t="shared" si="0"/>
        <v>1399</v>
      </c>
      <c r="F13" s="15">
        <v>1</v>
      </c>
      <c r="G13" s="18">
        <v>1399</v>
      </c>
      <c r="H13" s="18">
        <f>F13*G13</f>
        <v>1399</v>
      </c>
      <c r="I13" s="22">
        <v>2</v>
      </c>
      <c r="J13" s="22">
        <v>10</v>
      </c>
      <c r="K13" s="18">
        <f t="shared" si="2"/>
        <v>1119.2</v>
      </c>
      <c r="L13" s="19">
        <f t="shared" si="3"/>
        <v>0.2</v>
      </c>
      <c r="M13" s="18">
        <f t="shared" si="4"/>
        <v>279.79999999999995</v>
      </c>
      <c r="N13" s="23" t="s">
        <v>34</v>
      </c>
      <c r="O13" s="50" t="s">
        <v>36</v>
      </c>
    </row>
    <row r="14" spans="1:18" s="5" customFormat="1" ht="111" customHeight="1" x14ac:dyDescent="0.2">
      <c r="A14" s="47">
        <v>4</v>
      </c>
      <c r="B14" s="14" t="s">
        <v>27</v>
      </c>
      <c r="C14" s="15">
        <v>1</v>
      </c>
      <c r="D14" s="16">
        <v>1299</v>
      </c>
      <c r="E14" s="16">
        <f t="shared" si="0"/>
        <v>1299</v>
      </c>
      <c r="F14" s="15">
        <v>1</v>
      </c>
      <c r="G14" s="16">
        <v>1299</v>
      </c>
      <c r="H14" s="16">
        <f t="shared" ref="H14" si="5">F14*G14</f>
        <v>1299</v>
      </c>
      <c r="I14" s="17">
        <v>2</v>
      </c>
      <c r="J14" s="17">
        <v>10</v>
      </c>
      <c r="K14" s="18">
        <f t="shared" si="2"/>
        <v>1039.2</v>
      </c>
      <c r="L14" s="19">
        <f t="shared" si="3"/>
        <v>0.2</v>
      </c>
      <c r="M14" s="18">
        <f t="shared" si="4"/>
        <v>259.79999999999995</v>
      </c>
      <c r="N14" s="20" t="s">
        <v>34</v>
      </c>
      <c r="O14" s="48" t="s">
        <v>41</v>
      </c>
    </row>
    <row r="15" spans="1:18" s="5" customFormat="1" ht="65" customHeight="1" x14ac:dyDescent="0.2">
      <c r="A15" s="49">
        <v>5</v>
      </c>
      <c r="B15" s="14" t="s">
        <v>30</v>
      </c>
      <c r="C15" s="15">
        <v>1</v>
      </c>
      <c r="D15" s="18">
        <v>83.12</v>
      </c>
      <c r="E15" s="18">
        <f t="shared" si="0"/>
        <v>83.12</v>
      </c>
      <c r="F15" s="15">
        <v>1</v>
      </c>
      <c r="G15" s="18">
        <v>83.12</v>
      </c>
      <c r="H15" s="18">
        <f>F15*G15</f>
        <v>83.12</v>
      </c>
      <c r="I15" s="22" t="s">
        <v>33</v>
      </c>
      <c r="J15" s="22" t="s">
        <v>33</v>
      </c>
      <c r="K15" s="18">
        <f t="shared" si="2"/>
        <v>83.12</v>
      </c>
      <c r="L15" s="19">
        <v>0</v>
      </c>
      <c r="M15" s="18">
        <f t="shared" si="4"/>
        <v>0</v>
      </c>
      <c r="N15" s="23" t="s">
        <v>33</v>
      </c>
      <c r="O15" s="50" t="s">
        <v>39</v>
      </c>
    </row>
    <row r="16" spans="1:18" s="5" customFormat="1" ht="85" customHeight="1" thickBot="1" x14ac:dyDescent="0.25">
      <c r="A16" s="51">
        <v>6</v>
      </c>
      <c r="B16" s="52" t="s">
        <v>31</v>
      </c>
      <c r="C16" s="53">
        <v>1</v>
      </c>
      <c r="D16" s="54">
        <v>197.02</v>
      </c>
      <c r="E16" s="54">
        <f t="shared" si="0"/>
        <v>197.02</v>
      </c>
      <c r="F16" s="53">
        <v>0</v>
      </c>
      <c r="G16" s="54">
        <v>0</v>
      </c>
      <c r="H16" s="54">
        <f t="shared" ref="H16" si="6">F16*G16</f>
        <v>0</v>
      </c>
      <c r="I16" s="55" t="s">
        <v>33</v>
      </c>
      <c r="J16" s="55" t="s">
        <v>33</v>
      </c>
      <c r="K16" s="54">
        <f t="shared" si="2"/>
        <v>0</v>
      </c>
      <c r="L16" s="56">
        <v>0</v>
      </c>
      <c r="M16" s="54">
        <f t="shared" si="4"/>
        <v>0</v>
      </c>
      <c r="N16" s="57" t="s">
        <v>33</v>
      </c>
      <c r="O16" s="58" t="s">
        <v>40</v>
      </c>
    </row>
    <row r="17" spans="1:15" s="5" customFormat="1" ht="18" customHeight="1" thickBot="1" x14ac:dyDescent="0.25">
      <c r="A17" s="97" t="s">
        <v>15</v>
      </c>
      <c r="B17" s="98"/>
      <c r="C17" s="98"/>
      <c r="D17" s="99"/>
      <c r="E17" s="24">
        <f>SUM(E11:E16)</f>
        <v>5826.14</v>
      </c>
      <c r="F17" s="25"/>
      <c r="G17" s="26"/>
      <c r="H17" s="27">
        <f>SUM(H11:H16)</f>
        <v>5629.12</v>
      </c>
      <c r="I17" s="100"/>
      <c r="J17" s="101"/>
      <c r="K17" s="28">
        <f>SUM(K11:K16)</f>
        <v>4519.92</v>
      </c>
      <c r="L17" s="28"/>
      <c r="M17" s="28">
        <f>SUM(M11:M16)</f>
        <v>1109.1999999999998</v>
      </c>
      <c r="N17"/>
    </row>
    <row r="18" spans="1:15" s="5" customFormat="1" ht="18" customHeight="1" x14ac:dyDescent="0.2">
      <c r="A18" s="89" t="s">
        <v>16</v>
      </c>
      <c r="B18" s="90"/>
      <c r="C18" s="90"/>
      <c r="D18" s="91"/>
      <c r="E18" s="29">
        <v>0</v>
      </c>
      <c r="F18" s="30"/>
      <c r="G18" s="31"/>
      <c r="H18" s="29">
        <v>0</v>
      </c>
      <c r="I18" s="104"/>
      <c r="J18" s="105"/>
      <c r="K18" s="32">
        <v>0</v>
      </c>
      <c r="L18" s="32"/>
      <c r="M18" s="32">
        <v>0</v>
      </c>
      <c r="N18"/>
    </row>
    <row r="19" spans="1:15" s="5" customFormat="1" ht="18" customHeight="1" x14ac:dyDescent="0.2">
      <c r="A19" s="89" t="s">
        <v>14</v>
      </c>
      <c r="B19" s="90"/>
      <c r="C19" s="90"/>
      <c r="D19" s="91"/>
      <c r="E19" s="33">
        <f>SUM(E17:E18)</f>
        <v>5826.14</v>
      </c>
      <c r="F19" s="34"/>
      <c r="G19" s="35"/>
      <c r="H19" s="33">
        <f>SUM(H17,H18)</f>
        <v>5629.12</v>
      </c>
      <c r="I19" s="102"/>
      <c r="J19" s="103"/>
      <c r="K19" s="36">
        <f>SUM(K17:K18)</f>
        <v>4519.92</v>
      </c>
      <c r="L19" s="36"/>
      <c r="M19" s="36">
        <f>SUM(M17:M18)</f>
        <v>1109.1999999999998</v>
      </c>
      <c r="N19"/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/>
      <c r="O20" s="2"/>
    </row>
    <row r="21" spans="1:15" ht="12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7"/>
    </row>
    <row r="22" spans="1:15" s="10" customFormat="1" ht="25.5" customHeight="1" x14ac:dyDescent="0.15">
      <c r="A22" s="67" t="s">
        <v>35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9"/>
    </row>
    <row r="23" spans="1:15" ht="24" customHeight="1" x14ac:dyDescent="0.2">
      <c r="A23" s="70" t="s">
        <v>1</v>
      </c>
      <c r="B23" s="72" t="s">
        <v>2</v>
      </c>
      <c r="C23" s="74" t="s">
        <v>3</v>
      </c>
      <c r="D23" s="75"/>
      <c r="E23" s="76"/>
      <c r="F23" s="74" t="s">
        <v>4</v>
      </c>
      <c r="G23" s="75"/>
      <c r="H23" s="76"/>
      <c r="I23" s="77" t="s">
        <v>5</v>
      </c>
      <c r="J23" s="77" t="s">
        <v>6</v>
      </c>
      <c r="K23" s="77" t="s">
        <v>7</v>
      </c>
      <c r="L23" s="77" t="s">
        <v>8</v>
      </c>
      <c r="M23" s="77" t="s">
        <v>9</v>
      </c>
      <c r="N23" s="77" t="s">
        <v>10</v>
      </c>
      <c r="O23" s="70" t="s">
        <v>11</v>
      </c>
    </row>
    <row r="24" spans="1:15" ht="24" customHeight="1" thickBot="1" x14ac:dyDescent="0.25">
      <c r="A24" s="71"/>
      <c r="B24" s="73"/>
      <c r="C24" s="12" t="s">
        <v>12</v>
      </c>
      <c r="D24" s="11" t="s">
        <v>13</v>
      </c>
      <c r="E24" s="13" t="s">
        <v>14</v>
      </c>
      <c r="F24" s="13" t="s">
        <v>12</v>
      </c>
      <c r="G24" s="13" t="s">
        <v>13</v>
      </c>
      <c r="H24" s="13" t="s">
        <v>14</v>
      </c>
      <c r="I24" s="78"/>
      <c r="J24" s="78"/>
      <c r="K24" s="78"/>
      <c r="L24" s="78"/>
      <c r="M24" s="78"/>
      <c r="N24" s="78"/>
      <c r="O24" s="71"/>
    </row>
    <row r="25" spans="1:15" ht="111" customHeight="1" x14ac:dyDescent="0.2">
      <c r="A25" s="39">
        <v>1</v>
      </c>
      <c r="B25" s="40" t="s">
        <v>26</v>
      </c>
      <c r="C25" s="41">
        <v>1</v>
      </c>
      <c r="D25" s="42">
        <v>1749</v>
      </c>
      <c r="E25" s="42">
        <f>C25*D25</f>
        <v>1749</v>
      </c>
      <c r="F25" s="41">
        <v>1</v>
      </c>
      <c r="G25" s="42">
        <v>1749</v>
      </c>
      <c r="H25" s="42">
        <f>F25*G25</f>
        <v>1749</v>
      </c>
      <c r="I25" s="43">
        <v>2</v>
      </c>
      <c r="J25" s="43">
        <v>10</v>
      </c>
      <c r="K25" s="42">
        <f>H25*(1-L25)</f>
        <v>1399.2</v>
      </c>
      <c r="L25" s="44">
        <f>IF((I25/J25)&gt;=0.75,0.75,IF((I25/J25)&gt;=0,(I25/J25),IF((I25/J25)&lt;=1,0)))</f>
        <v>0.2</v>
      </c>
      <c r="M25" s="42">
        <f>H25-K25</f>
        <v>349.79999999999995</v>
      </c>
      <c r="N25" s="45" t="s">
        <v>34</v>
      </c>
      <c r="O25" s="46" t="s">
        <v>38</v>
      </c>
    </row>
    <row r="26" spans="1:15" ht="65" customHeight="1" x14ac:dyDescent="0.2">
      <c r="A26" s="47">
        <v>2</v>
      </c>
      <c r="B26" s="21" t="s">
        <v>28</v>
      </c>
      <c r="C26" s="15">
        <v>1</v>
      </c>
      <c r="D26" s="16">
        <v>1099</v>
      </c>
      <c r="E26" s="16">
        <f t="shared" ref="E26:E30" si="7">C26*D26</f>
        <v>1099</v>
      </c>
      <c r="F26" s="15">
        <v>1</v>
      </c>
      <c r="G26" s="16">
        <v>1099</v>
      </c>
      <c r="H26" s="16">
        <f t="shared" ref="H26" si="8">F26*G26</f>
        <v>1099</v>
      </c>
      <c r="I26" s="17">
        <v>2</v>
      </c>
      <c r="J26" s="17">
        <v>10</v>
      </c>
      <c r="K26" s="18">
        <f t="shared" ref="K26:K30" si="9">H26*(1-L26)</f>
        <v>879.2</v>
      </c>
      <c r="L26" s="19">
        <f t="shared" ref="L26:L28" si="10">IF((I26/J26)&gt;=0.75,0.75,IF((I26/J26)&gt;=0.1,(I26/J26),IF((I26/J26)&lt;=0.1,0.1)))</f>
        <v>0.2</v>
      </c>
      <c r="M26" s="18">
        <f t="shared" ref="M26:M30" si="11">H26-K26</f>
        <v>219.79999999999995</v>
      </c>
      <c r="N26" s="20" t="s">
        <v>34</v>
      </c>
      <c r="O26" s="48" t="s">
        <v>37</v>
      </c>
    </row>
    <row r="27" spans="1:15" ht="65" customHeight="1" x14ac:dyDescent="0.2">
      <c r="A27" s="49">
        <v>3</v>
      </c>
      <c r="B27" s="14" t="s">
        <v>29</v>
      </c>
      <c r="C27" s="15">
        <v>1</v>
      </c>
      <c r="D27" s="18">
        <v>1399</v>
      </c>
      <c r="E27" s="18">
        <f t="shared" si="7"/>
        <v>1399</v>
      </c>
      <c r="F27" s="15">
        <v>1</v>
      </c>
      <c r="G27" s="18">
        <v>1399</v>
      </c>
      <c r="H27" s="18">
        <f>F27*G27</f>
        <v>1399</v>
      </c>
      <c r="I27" s="22">
        <v>2</v>
      </c>
      <c r="J27" s="22">
        <v>10</v>
      </c>
      <c r="K27" s="18">
        <f t="shared" si="9"/>
        <v>1119.2</v>
      </c>
      <c r="L27" s="19">
        <f t="shared" si="10"/>
        <v>0.2</v>
      </c>
      <c r="M27" s="18">
        <f t="shared" si="11"/>
        <v>279.79999999999995</v>
      </c>
      <c r="N27" s="23" t="s">
        <v>34</v>
      </c>
      <c r="O27" s="50" t="s">
        <v>36</v>
      </c>
    </row>
    <row r="28" spans="1:15" ht="109" customHeight="1" x14ac:dyDescent="0.2">
      <c r="A28" s="47">
        <v>4</v>
      </c>
      <c r="B28" s="14" t="s">
        <v>27</v>
      </c>
      <c r="C28" s="15">
        <v>1</v>
      </c>
      <c r="D28" s="16">
        <v>1299</v>
      </c>
      <c r="E28" s="16">
        <f t="shared" si="7"/>
        <v>1299</v>
      </c>
      <c r="F28" s="15">
        <v>1</v>
      </c>
      <c r="G28" s="16">
        <v>1299</v>
      </c>
      <c r="H28" s="16">
        <f t="shared" ref="H28" si="12">F28*G28</f>
        <v>1299</v>
      </c>
      <c r="I28" s="17">
        <v>2</v>
      </c>
      <c r="J28" s="17">
        <v>10</v>
      </c>
      <c r="K28" s="18">
        <f t="shared" si="9"/>
        <v>1039.2</v>
      </c>
      <c r="L28" s="19">
        <f t="shared" si="10"/>
        <v>0.2</v>
      </c>
      <c r="M28" s="18">
        <f t="shared" si="11"/>
        <v>259.79999999999995</v>
      </c>
      <c r="N28" s="20" t="s">
        <v>34</v>
      </c>
      <c r="O28" s="48" t="s">
        <v>41</v>
      </c>
    </row>
    <row r="29" spans="1:15" ht="65" customHeight="1" x14ac:dyDescent="0.2">
      <c r="A29" s="49">
        <v>5</v>
      </c>
      <c r="B29" s="14" t="s">
        <v>30</v>
      </c>
      <c r="C29" s="15">
        <v>1</v>
      </c>
      <c r="D29" s="18">
        <v>83.12</v>
      </c>
      <c r="E29" s="18">
        <f t="shared" si="7"/>
        <v>83.12</v>
      </c>
      <c r="F29" s="15">
        <v>1</v>
      </c>
      <c r="G29" s="18">
        <v>83.12</v>
      </c>
      <c r="H29" s="18">
        <f>F29*G29</f>
        <v>83.12</v>
      </c>
      <c r="I29" s="22" t="s">
        <v>33</v>
      </c>
      <c r="J29" s="22" t="s">
        <v>33</v>
      </c>
      <c r="K29" s="18">
        <f t="shared" si="9"/>
        <v>83.12</v>
      </c>
      <c r="L29" s="19">
        <v>0</v>
      </c>
      <c r="M29" s="18">
        <f t="shared" si="11"/>
        <v>0</v>
      </c>
      <c r="N29" s="23" t="s">
        <v>33</v>
      </c>
      <c r="O29" s="50" t="s">
        <v>39</v>
      </c>
    </row>
    <row r="30" spans="1:15" ht="83" customHeight="1" thickBot="1" x14ac:dyDescent="0.25">
      <c r="A30" s="51">
        <v>6</v>
      </c>
      <c r="B30" s="52" t="s">
        <v>31</v>
      </c>
      <c r="C30" s="53">
        <v>1</v>
      </c>
      <c r="D30" s="54">
        <v>197.02</v>
      </c>
      <c r="E30" s="54">
        <f t="shared" si="7"/>
        <v>197.02</v>
      </c>
      <c r="F30" s="53">
        <v>0</v>
      </c>
      <c r="G30" s="54">
        <v>0</v>
      </c>
      <c r="H30" s="54">
        <f t="shared" ref="H30" si="13">F30*G30</f>
        <v>0</v>
      </c>
      <c r="I30" s="55" t="s">
        <v>33</v>
      </c>
      <c r="J30" s="55" t="s">
        <v>33</v>
      </c>
      <c r="K30" s="54">
        <f t="shared" si="9"/>
        <v>0</v>
      </c>
      <c r="L30" s="56">
        <v>0</v>
      </c>
      <c r="M30" s="54">
        <f t="shared" si="11"/>
        <v>0</v>
      </c>
      <c r="N30" s="57" t="s">
        <v>33</v>
      </c>
      <c r="O30" s="58" t="s">
        <v>40</v>
      </c>
    </row>
    <row r="31" spans="1:15" s="5" customFormat="1" ht="18" customHeight="1" thickBot="1" x14ac:dyDescent="0.25">
      <c r="A31" s="97" t="s">
        <v>15</v>
      </c>
      <c r="B31" s="98"/>
      <c r="C31" s="98"/>
      <c r="D31" s="99"/>
      <c r="E31" s="24">
        <f>SUM(E25:E30)</f>
        <v>5826.14</v>
      </c>
      <c r="F31" s="25"/>
      <c r="G31" s="26"/>
      <c r="H31" s="27">
        <f>SUM(H25:H30)</f>
        <v>5629.12</v>
      </c>
      <c r="I31" s="100"/>
      <c r="J31" s="101"/>
      <c r="K31" s="28">
        <f>SUM(K25:K30)</f>
        <v>4519.92</v>
      </c>
      <c r="L31" s="28"/>
      <c r="M31" s="28">
        <f>SUM(M25:M30)</f>
        <v>1109.1999999999998</v>
      </c>
      <c r="N31"/>
    </row>
    <row r="32" spans="1:15" s="5" customFormat="1" ht="18" customHeight="1" x14ac:dyDescent="0.2">
      <c r="A32" s="89" t="s">
        <v>16</v>
      </c>
      <c r="B32" s="90"/>
      <c r="C32" s="90"/>
      <c r="D32" s="91"/>
      <c r="E32" s="29">
        <v>0</v>
      </c>
      <c r="F32" s="30"/>
      <c r="G32" s="31"/>
      <c r="H32" s="29">
        <v>0</v>
      </c>
      <c r="I32" s="104"/>
      <c r="J32" s="105"/>
      <c r="K32" s="32">
        <v>0</v>
      </c>
      <c r="L32" s="32"/>
      <c r="M32" s="32">
        <v>0</v>
      </c>
      <c r="N32"/>
    </row>
    <row r="33" spans="1:14" s="5" customFormat="1" ht="18" customHeight="1" x14ac:dyDescent="0.2">
      <c r="A33" s="89" t="s">
        <v>14</v>
      </c>
      <c r="B33" s="90"/>
      <c r="C33" s="90"/>
      <c r="D33" s="91"/>
      <c r="E33" s="33">
        <f>SUM(E31:E32)</f>
        <v>5826.14</v>
      </c>
      <c r="F33" s="34"/>
      <c r="G33" s="35"/>
      <c r="H33" s="33">
        <f>SUM(H31,H32)</f>
        <v>5629.12</v>
      </c>
      <c r="I33" s="102"/>
      <c r="J33" s="103"/>
      <c r="K33" s="36">
        <f>SUM(K31:K32)</f>
        <v>4519.92</v>
      </c>
      <c r="L33" s="36"/>
      <c r="M33" s="36">
        <f>SUM(M31:M32)</f>
        <v>1109.1999999999998</v>
      </c>
      <c r="N33"/>
    </row>
    <row r="34" spans="1:14" ht="12.75" customHeight="1" x14ac:dyDescent="0.2">
      <c r="A34" s="96"/>
      <c r="B34" s="9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6" spans="1:14" x14ac:dyDescent="0.2">
      <c r="B36" s="59" t="s">
        <v>17</v>
      </c>
      <c r="C36" s="60"/>
      <c r="D36" s="61"/>
      <c r="E36" s="65">
        <f>E33+E19</f>
        <v>11652.28</v>
      </c>
    </row>
    <row r="37" spans="1:14" x14ac:dyDescent="0.2">
      <c r="B37" s="62"/>
      <c r="C37" s="63"/>
      <c r="D37" s="64"/>
      <c r="E37" s="79"/>
    </row>
    <row r="39" spans="1:14" x14ac:dyDescent="0.2">
      <c r="B39" s="59" t="s">
        <v>18</v>
      </c>
      <c r="C39" s="60"/>
      <c r="D39" s="61"/>
      <c r="E39" s="65">
        <f>H33+H19</f>
        <v>11258.24</v>
      </c>
    </row>
    <row r="40" spans="1:14" x14ac:dyDescent="0.2">
      <c r="B40" s="62"/>
      <c r="C40" s="63"/>
      <c r="D40" s="64"/>
      <c r="E40" s="79"/>
    </row>
    <row r="42" spans="1:14" x14ac:dyDescent="0.2">
      <c r="B42" s="59" t="s">
        <v>19</v>
      </c>
      <c r="C42" s="60"/>
      <c r="D42" s="61"/>
      <c r="E42" s="65">
        <f>K33+K19</f>
        <v>9039.84</v>
      </c>
    </row>
    <row r="43" spans="1:14" x14ac:dyDescent="0.2">
      <c r="B43" s="62"/>
      <c r="C43" s="63"/>
      <c r="D43" s="64"/>
      <c r="E43" s="79"/>
      <c r="I43" s="8"/>
      <c r="J43" s="8"/>
      <c r="K43" s="8"/>
      <c r="L43" s="8"/>
    </row>
    <row r="44" spans="1:14" x14ac:dyDescent="0.2">
      <c r="I44" s="8"/>
      <c r="J44" s="8"/>
      <c r="K44" s="8"/>
      <c r="L44" s="8"/>
    </row>
    <row r="45" spans="1:14" x14ac:dyDescent="0.2">
      <c r="B45" s="59" t="s">
        <v>20</v>
      </c>
      <c r="C45" s="60"/>
      <c r="D45" s="61"/>
      <c r="E45" s="65">
        <f>M33+M19</f>
        <v>2218.3999999999996</v>
      </c>
    </row>
    <row r="46" spans="1:14" x14ac:dyDescent="0.2">
      <c r="B46" s="62"/>
      <c r="C46" s="63"/>
      <c r="D46" s="64"/>
      <c r="E46" s="66"/>
    </row>
  </sheetData>
  <mergeCells count="51">
    <mergeCell ref="I33:J33"/>
    <mergeCell ref="A18:D18"/>
    <mergeCell ref="I18:J18"/>
    <mergeCell ref="A19:D19"/>
    <mergeCell ref="I19:J19"/>
    <mergeCell ref="A31:D31"/>
    <mergeCell ref="I31:J31"/>
    <mergeCell ref="I32:J32"/>
    <mergeCell ref="G4:H5"/>
    <mergeCell ref="A34:B34"/>
    <mergeCell ref="F9:H9"/>
    <mergeCell ref="A9:A10"/>
    <mergeCell ref="A8:O8"/>
    <mergeCell ref="C9:E9"/>
    <mergeCell ref="B9:B10"/>
    <mergeCell ref="A17:D17"/>
    <mergeCell ref="I17:J17"/>
    <mergeCell ref="L9:L10"/>
    <mergeCell ref="O9:O10"/>
    <mergeCell ref="I9:I10"/>
    <mergeCell ref="J9:J10"/>
    <mergeCell ref="K9:K10"/>
    <mergeCell ref="M9:M10"/>
    <mergeCell ref="N9:N10"/>
    <mergeCell ref="B42:D43"/>
    <mergeCell ref="E42:E43"/>
    <mergeCell ref="A1:E1"/>
    <mergeCell ref="A2:E2"/>
    <mergeCell ref="A3:E3"/>
    <mergeCell ref="A4:E4"/>
    <mergeCell ref="A5:E5"/>
    <mergeCell ref="E36:E37"/>
    <mergeCell ref="E39:E40"/>
    <mergeCell ref="A32:D32"/>
    <mergeCell ref="A33:D33"/>
    <mergeCell ref="B45:D46"/>
    <mergeCell ref="E45:E46"/>
    <mergeCell ref="B36:D37"/>
    <mergeCell ref="B39:D40"/>
    <mergeCell ref="A22:O22"/>
    <mergeCell ref="A23:A24"/>
    <mergeCell ref="B23:B24"/>
    <mergeCell ref="C23:E23"/>
    <mergeCell ref="F23:H23"/>
    <mergeCell ref="I23:I24"/>
    <mergeCell ref="J23:J24"/>
    <mergeCell ref="K23:K24"/>
    <mergeCell ref="L23:L24"/>
    <mergeCell ref="M23:M24"/>
    <mergeCell ref="N23:N24"/>
    <mergeCell ref="O23:O24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2026-01-07T19:30:17Z</dcterms:modified>
  <cp:category/>
  <cp:contentStatus/>
</cp:coreProperties>
</file>