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ecnel Rental Tools/"/>
    </mc:Choice>
  </mc:AlternateContent>
  <xr:revisionPtr revIDLastSave="0" documentId="13_ncr:1_{167E49C2-7316-7D4D-96E6-A8027588D63D}" xr6:coauthVersionLast="47" xr6:coauthVersionMax="47" xr10:uidLastSave="{00000000-0000-0000-0000-000000000000}"/>
  <bookViews>
    <workbookView xWindow="43320" yWindow="228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1" l="1"/>
  <c r="F15" i="1" l="1"/>
  <c r="F16" i="1"/>
  <c r="F17" i="1"/>
  <c r="F18" i="1"/>
  <c r="F19" i="1"/>
  <c r="F20" i="1"/>
  <c r="F21" i="1"/>
  <c r="F22" i="1"/>
  <c r="H22" i="1"/>
  <c r="I22" i="1"/>
  <c r="K22" i="1"/>
  <c r="F23" i="1"/>
  <c r="H23" i="1"/>
  <c r="F14" i="1"/>
  <c r="H15" i="1"/>
  <c r="H17" i="1"/>
  <c r="I17" i="1"/>
  <c r="H19" i="1"/>
  <c r="I19" i="1"/>
  <c r="H20" i="1"/>
  <c r="I20" i="1"/>
  <c r="K20" i="1"/>
  <c r="L20" i="1"/>
  <c r="M20" i="1"/>
  <c r="H16" i="1"/>
  <c r="I16" i="1"/>
  <c r="I23" i="1"/>
  <c r="K23" i="1"/>
  <c r="L23" i="1"/>
  <c r="M23" i="1"/>
  <c r="H14" i="1"/>
  <c r="I14" i="1"/>
  <c r="L22" i="1"/>
  <c r="M22" i="1"/>
  <c r="H21" i="1"/>
  <c r="I21" i="1"/>
  <c r="H18" i="1"/>
  <c r="I18" i="1"/>
  <c r="I15" i="1"/>
  <c r="K15" i="1"/>
  <c r="K21" i="1"/>
  <c r="K18" i="1"/>
  <c r="L18" i="1"/>
  <c r="M18" i="1"/>
  <c r="L21" i="1"/>
  <c r="M21" i="1"/>
  <c r="K19" i="1"/>
  <c r="L19" i="1"/>
  <c r="M19" i="1"/>
  <c r="K17" i="1"/>
  <c r="L17" i="1"/>
  <c r="M17" i="1"/>
  <c r="H26" i="1"/>
  <c r="K16" i="1"/>
  <c r="L16" i="1"/>
  <c r="M16" i="1"/>
  <c r="L15" i="1"/>
  <c r="M15" i="1"/>
  <c r="K14" i="1"/>
  <c r="J29" i="1"/>
  <c r="I26" i="1"/>
  <c r="K26" i="1"/>
  <c r="L14" i="1"/>
  <c r="M14" i="1"/>
  <c r="M26" i="1"/>
  <c r="L26" i="1"/>
  <c r="J31" i="1"/>
  <c r="J33" i="1"/>
  <c r="J35" i="1"/>
  <c r="J39" i="1"/>
</calcChain>
</file>

<file path=xl/sharedStrings.xml><?xml version="1.0" encoding="utf-8"?>
<sst xmlns="http://schemas.openxmlformats.org/spreadsheetml/2006/main" count="53" uniqueCount="46">
  <si>
    <t xml:space="preserve">Loss Location: </t>
  </si>
  <si>
    <t>COST TO</t>
  </si>
  <si>
    <t>TOTAL COST</t>
  </si>
  <si>
    <t>RC</t>
  </si>
  <si>
    <t>ACTUAL</t>
  </si>
  <si>
    <t>REPLACE/REPAIR</t>
  </si>
  <si>
    <t xml:space="preserve">OF </t>
  </si>
  <si>
    <t>TAX</t>
  </si>
  <si>
    <t>&amp;</t>
  </si>
  <si>
    <t>DEPRECIATION</t>
  </si>
  <si>
    <t xml:space="preserve">TOTAL </t>
  </si>
  <si>
    <t>CASH</t>
  </si>
  <si>
    <t xml:space="preserve">ACV </t>
  </si>
  <si>
    <t>ITEM DESCRIPTION (Make/Model/Serial #)</t>
  </si>
  <si>
    <t>AGE</t>
  </si>
  <si>
    <t>QTY</t>
  </si>
  <si>
    <t xml:space="preserve">(for each item) </t>
  </si>
  <si>
    <t>%</t>
  </si>
  <si>
    <t>AMT.</t>
  </si>
  <si>
    <t>% PER YEAR</t>
  </si>
  <si>
    <t>VALUE</t>
  </si>
  <si>
    <t xml:space="preserve"> -OR- Limit</t>
  </si>
  <si>
    <t>Validation source</t>
  </si>
  <si>
    <t xml:space="preserve">LIMIT </t>
  </si>
  <si>
    <t>NOTES:</t>
  </si>
  <si>
    <t>TOTAL RCV</t>
  </si>
  <si>
    <t>TOTAL DEP. TAKEN</t>
  </si>
  <si>
    <t>TOTAL ACV</t>
  </si>
  <si>
    <t>TOTAL ACV INCL. ANY LIMITS</t>
  </si>
  <si>
    <t>TOTAL OR REMAINDER OF DED</t>
  </si>
  <si>
    <t>NET LOSS</t>
  </si>
  <si>
    <t>Underwriting Company:  TRAVELERS PROPERTY CASUALTY COMPANY OF AMERICA</t>
  </si>
  <si>
    <t>Type of Loss: Theft</t>
  </si>
  <si>
    <t>Insured Name: BENCEL RENTAL TOOLS</t>
  </si>
  <si>
    <t>Address: 340 TECHNOLOGY GRAY LA70359</t>
  </si>
  <si>
    <t>Policy Number: 660-A9103025</t>
  </si>
  <si>
    <t>Claim No: FQD1120</t>
  </si>
  <si>
    <t>Loss date: 12/03/25</t>
  </si>
  <si>
    <t>Claim Handler: Neri Barragan</t>
  </si>
  <si>
    <t>Winchester Model 1 - Vacuum to 3,000 PSI Digital pressure gauge</t>
  </si>
  <si>
    <t>Winchester Model 1 - Vacuum to 3,000 PSI Digital pressure gauge </t>
  </si>
  <si>
    <t>Winchester Model 2 - 0 to 10,000 PSI Digital pressure gauge</t>
  </si>
  <si>
    <t>Magnum Pro MVP-600 Handpump</t>
  </si>
  <si>
    <t>Magnum Pro M-10 - 10,000 PSI Hydraulic pump</t>
  </si>
  <si>
    <t xml:space="preserve">presented = </t>
  </si>
  <si>
    <t>plus shipping / handling and CC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</si>
</sst>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3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u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sz val="10"/>
      <name val="Arial"/>
      <family val="2"/>
    </font>
    <font>
      <sz val="12"/>
      <color rgb="FF000000"/>
      <name val="Aptos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Alignment="0" applyProtection="0"/>
    <xf numFmtId="0" fontId="15" fillId="20" borderId="8" applyNumberFormat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77">
    <xf numFmtId="0" fontId="0" fillId="0" borderId="0" xfId="0"/>
    <xf numFmtId="0" fontId="20" fillId="0" borderId="0" xfId="0" applyFont="1" applyAlignment="1">
      <alignment horizontal="left"/>
    </xf>
    <xf numFmtId="0" fontId="19" fillId="0" borderId="0" xfId="28" applyNumberFormat="1" applyFont="1" applyAlignment="1">
      <alignment horizontal="center"/>
    </xf>
    <xf numFmtId="44" fontId="20" fillId="0" borderId="0" xfId="28" applyFont="1" applyAlignment="1">
      <alignment horizontal="center"/>
    </xf>
    <xf numFmtId="9" fontId="20" fillId="0" borderId="0" xfId="4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164" fontId="21" fillId="0" borderId="10" xfId="28" applyNumberFormat="1" applyFont="1" applyBorder="1" applyAlignment="1">
      <alignment horizontal="right"/>
    </xf>
    <xf numFmtId="44" fontId="22" fillId="0" borderId="10" xfId="28" applyFont="1" applyBorder="1" applyAlignment="1">
      <alignment horizontal="center"/>
    </xf>
    <xf numFmtId="164" fontId="22" fillId="0" borderId="10" xfId="28" applyNumberFormat="1" applyFont="1" applyBorder="1" applyAlignment="1">
      <alignment horizontal="right"/>
    </xf>
    <xf numFmtId="0" fontId="20" fillId="0" borderId="10" xfId="0" applyFont="1" applyBorder="1"/>
    <xf numFmtId="44" fontId="21" fillId="0" borderId="10" xfId="28" applyFont="1" applyBorder="1"/>
    <xf numFmtId="0" fontId="0" fillId="0" borderId="11" xfId="0" applyBorder="1"/>
    <xf numFmtId="0" fontId="0" fillId="0" borderId="12" xfId="0" applyBorder="1"/>
    <xf numFmtId="0" fontId="25" fillId="0" borderId="12" xfId="0" applyFont="1" applyBorder="1"/>
    <xf numFmtId="0" fontId="25" fillId="0" borderId="13" xfId="0" applyFont="1" applyBorder="1"/>
    <xf numFmtId="0" fontId="0" fillId="0" borderId="14" xfId="0" applyBorder="1"/>
    <xf numFmtId="0" fontId="26" fillId="0" borderId="15" xfId="0" applyFont="1" applyBorder="1"/>
    <xf numFmtId="44" fontId="0" fillId="0" borderId="16" xfId="0" applyNumberFormat="1" applyBorder="1"/>
    <xf numFmtId="0" fontId="0" fillId="0" borderId="17" xfId="0" applyBorder="1"/>
    <xf numFmtId="44" fontId="0" fillId="0" borderId="18" xfId="0" applyNumberFormat="1" applyBorder="1"/>
    <xf numFmtId="0" fontId="27" fillId="0" borderId="19" xfId="0" applyFont="1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0" xfId="0" applyProtection="1">
      <protection locked="0"/>
    </xf>
    <xf numFmtId="0" fontId="0" fillId="0" borderId="21" xfId="0" applyBorder="1" applyProtection="1">
      <protection locked="0"/>
    </xf>
    <xf numFmtId="44" fontId="0" fillId="0" borderId="0" xfId="0" applyNumberFormat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44" fontId="0" fillId="0" borderId="16" xfId="0" applyNumberFormat="1" applyBorder="1" applyProtection="1">
      <protection locked="0"/>
    </xf>
    <xf numFmtId="0" fontId="20" fillId="0" borderId="0" xfId="0" applyFont="1" applyProtection="1">
      <protection locked="0"/>
    </xf>
    <xf numFmtId="0" fontId="19" fillId="0" borderId="0" xfId="0" applyFont="1" applyAlignment="1" applyProtection="1">
      <alignment horizontal="left"/>
      <protection locked="0"/>
    </xf>
    <xf numFmtId="0" fontId="19" fillId="0" borderId="0" xfId="28" applyNumberFormat="1" applyFont="1" applyAlignment="1" applyProtection="1">
      <alignment horizontal="center"/>
      <protection locked="0"/>
    </xf>
    <xf numFmtId="44" fontId="20" fillId="0" borderId="0" xfId="28" applyFont="1" applyAlignment="1" applyProtection="1">
      <alignment horizontal="center"/>
      <protection locked="0"/>
    </xf>
    <xf numFmtId="44" fontId="19" fillId="0" borderId="0" xfId="28" applyFont="1" applyAlignment="1" applyProtection="1">
      <alignment horizontal="center"/>
      <protection locked="0"/>
    </xf>
    <xf numFmtId="9" fontId="20" fillId="0" borderId="0" xfId="40" applyFont="1" applyAlignment="1" applyProtection="1">
      <alignment horizontal="center"/>
      <protection locked="0"/>
    </xf>
    <xf numFmtId="9" fontId="19" fillId="0" borderId="0" xfId="40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7" fontId="25" fillId="24" borderId="0" xfId="0" applyNumberFormat="1" applyFont="1" applyFill="1" applyAlignment="1">
      <alignment horizontal="left" vertical="center"/>
    </xf>
    <xf numFmtId="0" fontId="0" fillId="24" borderId="0" xfId="0" applyFill="1" applyAlignment="1">
      <alignment horizontal="center"/>
    </xf>
    <xf numFmtId="164" fontId="0" fillId="24" borderId="0" xfId="0" applyNumberFormat="1" applyFill="1" applyAlignment="1">
      <alignment horizontal="center"/>
    </xf>
    <xf numFmtId="9" fontId="0" fillId="24" borderId="0" xfId="0" applyNumberFormat="1" applyFill="1" applyAlignment="1">
      <alignment horizontal="center"/>
    </xf>
    <xf numFmtId="0" fontId="28" fillId="25" borderId="0" xfId="0" applyFont="1" applyFill="1" applyAlignment="1">
      <alignment horizontal="center"/>
    </xf>
    <xf numFmtId="0" fontId="0" fillId="25" borderId="0" xfId="0" applyFill="1"/>
    <xf numFmtId="7" fontId="0" fillId="25" borderId="0" xfId="0" applyNumberFormat="1" applyFill="1"/>
    <xf numFmtId="44" fontId="0" fillId="25" borderId="0" xfId="0" applyNumberFormat="1" applyFill="1"/>
    <xf numFmtId="44" fontId="28" fillId="25" borderId="0" xfId="0" applyNumberFormat="1" applyFont="1" applyFill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0" xfId="0" applyFont="1" applyBorder="1" applyAlignment="1" applyProtection="1">
      <alignment horizontal="left"/>
      <protection locked="0"/>
    </xf>
    <xf numFmtId="0" fontId="1" fillId="0" borderId="10" xfId="0" applyFont="1" applyBorder="1" applyAlignment="1" applyProtection="1">
      <alignment horizontal="left" wrapText="1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0" xfId="28" applyNumberFormat="1" applyFont="1" applyBorder="1" applyAlignment="1" applyProtection="1">
      <alignment horizontal="center" vertical="center"/>
      <protection locked="0"/>
    </xf>
    <xf numFmtId="44" fontId="1" fillId="0" borderId="10" xfId="28" applyFont="1" applyBorder="1" applyProtection="1">
      <protection locked="0"/>
    </xf>
    <xf numFmtId="10" fontId="1" fillId="0" borderId="10" xfId="40" applyNumberFormat="1" applyFont="1" applyBorder="1" applyAlignment="1" applyProtection="1">
      <alignment horizontal="center"/>
      <protection locked="0"/>
    </xf>
    <xf numFmtId="9" fontId="1" fillId="0" borderId="10" xfId="40" applyFont="1" applyBorder="1" applyAlignment="1" applyProtection="1">
      <alignment horizontal="center"/>
      <protection locked="0"/>
    </xf>
    <xf numFmtId="164" fontId="1" fillId="0" borderId="10" xfId="0" applyNumberFormat="1" applyFont="1" applyBorder="1" applyAlignment="1" applyProtection="1">
      <alignment horizontal="right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0" borderId="10" xfId="0" applyFont="1" applyBorder="1"/>
    <xf numFmtId="0" fontId="1" fillId="0" borderId="10" xfId="0" applyFont="1" applyBorder="1" applyProtection="1">
      <protection locked="0"/>
    </xf>
    <xf numFmtId="0" fontId="1" fillId="0" borderId="10" xfId="0" applyFont="1" applyBorder="1" applyAlignment="1" applyProtection="1">
      <alignment wrapText="1"/>
      <protection locked="0"/>
    </xf>
    <xf numFmtId="44" fontId="1" fillId="0" borderId="10" xfId="0" applyNumberFormat="1" applyFont="1" applyBorder="1" applyProtection="1">
      <protection locked="0"/>
    </xf>
    <xf numFmtId="164" fontId="1" fillId="0" borderId="10" xfId="0" applyNumberFormat="1" applyFont="1" applyBorder="1" applyAlignment="1">
      <alignment horizontal="right"/>
    </xf>
    <xf numFmtId="9" fontId="1" fillId="0" borderId="10" xfId="4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wrapText="1"/>
    </xf>
    <xf numFmtId="0" fontId="29" fillId="26" borderId="0" xfId="0" applyFont="1" applyFill="1"/>
    <xf numFmtId="0" fontId="29" fillId="27" borderId="0" xfId="0" applyFont="1" applyFill="1"/>
    <xf numFmtId="0" fontId="29" fillId="28" borderId="0" xfId="0" applyFont="1" applyFill="1"/>
    <xf numFmtId="0" fontId="29" fillId="29" borderId="0" xfId="0" applyFont="1" applyFill="1"/>
    <xf numFmtId="44" fontId="0" fillId="0" borderId="0" xfId="0" applyNumberFormat="1"/>
    <xf numFmtId="0" fontId="1" fillId="30" borderId="24" xfId="0" applyFont="1" applyFill="1" applyBorder="1"/>
    <xf numFmtId="44" fontId="0" fillId="30" borderId="24" xfId="0" applyNumberFormat="1" applyFill="1" applyBorder="1"/>
    <xf numFmtId="0" fontId="1" fillId="30" borderId="25" xfId="0" applyFont="1" applyFill="1" applyBorder="1"/>
    <xf numFmtId="0" fontId="23" fillId="0" borderId="0" xfId="0" applyFont="1" applyAlignment="1" applyProtection="1">
      <alignment horizontal="center"/>
      <protection locked="0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urrency" xfId="28" builtinId="4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"/>
  <sheetViews>
    <sheetView tabSelected="1" topLeftCell="A6" workbookViewId="0">
      <selection activeCell="A40" sqref="A40"/>
    </sheetView>
  </sheetViews>
  <sheetFormatPr baseColWidth="10" defaultColWidth="8.83203125" defaultRowHeight="13" x14ac:dyDescent="0.15"/>
  <cols>
    <col min="1" max="1" width="67.5" bestFit="1" customWidth="1"/>
    <col min="2" max="2" width="9.1640625" hidden="1" customWidth="1"/>
    <col min="3" max="3" width="5.1640625" customWidth="1"/>
    <col min="4" max="4" width="6.5" customWidth="1"/>
    <col min="5" max="5" width="20.83203125" customWidth="1"/>
    <col min="6" max="6" width="17.33203125" customWidth="1"/>
    <col min="9" max="9" width="23.5" customWidth="1"/>
    <col min="10" max="10" width="16.1640625" customWidth="1"/>
    <col min="11" max="11" width="16.33203125" customWidth="1"/>
    <col min="13" max="13" width="15" customWidth="1"/>
    <col min="14" max="14" width="30.1640625" customWidth="1"/>
  </cols>
  <sheetData>
    <row r="1" spans="1:16" s="39" customFormat="1" x14ac:dyDescent="0.15">
      <c r="A1" s="38" t="s">
        <v>33</v>
      </c>
      <c r="D1" s="40"/>
      <c r="E1" s="40"/>
      <c r="F1" s="41"/>
    </row>
    <row r="2" spans="1:16" s="39" customFormat="1" x14ac:dyDescent="0.15">
      <c r="A2" s="38" t="s">
        <v>34</v>
      </c>
      <c r="D2" s="40"/>
      <c r="E2" s="40"/>
      <c r="F2" s="41"/>
    </row>
    <row r="3" spans="1:16" s="39" customFormat="1" x14ac:dyDescent="0.15">
      <c r="A3" s="38" t="s">
        <v>35</v>
      </c>
      <c r="D3" s="40"/>
      <c r="E3" s="40"/>
      <c r="F3" s="41"/>
    </row>
    <row r="4" spans="1:16" s="39" customFormat="1" x14ac:dyDescent="0.15">
      <c r="A4" s="38" t="s">
        <v>36</v>
      </c>
      <c r="D4" s="40"/>
      <c r="E4" s="40"/>
      <c r="F4" s="41"/>
    </row>
    <row r="5" spans="1:16" s="39" customFormat="1" x14ac:dyDescent="0.15">
      <c r="A5" s="38" t="s">
        <v>37</v>
      </c>
      <c r="D5" s="40"/>
      <c r="E5" s="40"/>
      <c r="F5" s="41"/>
    </row>
    <row r="6" spans="1:16" s="39" customFormat="1" x14ac:dyDescent="0.15">
      <c r="A6" s="38" t="s">
        <v>0</v>
      </c>
      <c r="D6" s="40"/>
      <c r="E6" s="40"/>
      <c r="F6" s="41"/>
    </row>
    <row r="7" spans="1:16" s="39" customFormat="1" x14ac:dyDescent="0.15">
      <c r="A7" s="38" t="s">
        <v>32</v>
      </c>
      <c r="D7" s="40"/>
      <c r="E7" s="40"/>
      <c r="F7" s="41"/>
    </row>
    <row r="8" spans="1:16" s="39" customFormat="1" x14ac:dyDescent="0.15">
      <c r="A8" s="38" t="s">
        <v>31</v>
      </c>
      <c r="D8" s="40"/>
      <c r="E8" s="40"/>
      <c r="F8" s="41"/>
    </row>
    <row r="9" spans="1:16" s="39" customFormat="1" x14ac:dyDescent="0.15">
      <c r="A9" s="38" t="s">
        <v>38</v>
      </c>
      <c r="D9" s="40"/>
      <c r="E9" s="40"/>
      <c r="F9" s="41"/>
    </row>
    <row r="10" spans="1:16" s="43" customFormat="1" x14ac:dyDescent="0.15">
      <c r="A10" s="42"/>
      <c r="C10" s="44"/>
      <c r="D10" s="45"/>
      <c r="E10" s="45"/>
      <c r="F10" s="46"/>
    </row>
    <row r="11" spans="1:16" x14ac:dyDescent="0.15">
      <c r="A11" s="30"/>
      <c r="B11" s="1"/>
      <c r="C11" s="1"/>
      <c r="D11" s="2"/>
      <c r="E11" s="33" t="s">
        <v>1</v>
      </c>
      <c r="F11" s="33" t="s">
        <v>2</v>
      </c>
      <c r="G11" s="4"/>
      <c r="H11" s="3"/>
      <c r="I11" s="33" t="s">
        <v>3</v>
      </c>
      <c r="J11" s="35"/>
      <c r="K11" s="33"/>
      <c r="L11" s="33" t="s">
        <v>4</v>
      </c>
      <c r="M11" s="47"/>
      <c r="N11" s="48"/>
      <c r="O11" s="49"/>
      <c r="P11" s="49"/>
    </row>
    <row r="12" spans="1:16" x14ac:dyDescent="0.15">
      <c r="A12" s="50"/>
      <c r="B12" s="5"/>
      <c r="C12" s="6"/>
      <c r="D12" s="2"/>
      <c r="E12" s="33" t="s">
        <v>5</v>
      </c>
      <c r="F12" s="33" t="s">
        <v>6</v>
      </c>
      <c r="G12" s="35" t="s">
        <v>7</v>
      </c>
      <c r="H12" s="33" t="s">
        <v>7</v>
      </c>
      <c r="I12" s="33" t="s">
        <v>8</v>
      </c>
      <c r="J12" s="35" t="s">
        <v>9</v>
      </c>
      <c r="K12" s="33" t="s">
        <v>10</v>
      </c>
      <c r="L12" s="33" t="s">
        <v>11</v>
      </c>
      <c r="M12" s="37" t="s">
        <v>12</v>
      </c>
      <c r="N12" s="48"/>
      <c r="O12" s="49"/>
      <c r="P12" s="49"/>
    </row>
    <row r="13" spans="1:16" x14ac:dyDescent="0.15">
      <c r="A13" s="76" t="s">
        <v>13</v>
      </c>
      <c r="B13" s="76"/>
      <c r="C13" s="31" t="s">
        <v>14</v>
      </c>
      <c r="D13" s="32" t="s">
        <v>15</v>
      </c>
      <c r="E13" s="34" t="s">
        <v>16</v>
      </c>
      <c r="F13" s="34" t="s">
        <v>5</v>
      </c>
      <c r="G13" s="36" t="s">
        <v>17</v>
      </c>
      <c r="H13" s="34" t="s">
        <v>18</v>
      </c>
      <c r="I13" s="34" t="s">
        <v>7</v>
      </c>
      <c r="J13" s="36" t="s">
        <v>19</v>
      </c>
      <c r="K13" s="34" t="s">
        <v>9</v>
      </c>
      <c r="L13" s="34" t="s">
        <v>20</v>
      </c>
      <c r="M13" s="34" t="s">
        <v>21</v>
      </c>
      <c r="N13" s="37" t="s">
        <v>22</v>
      </c>
      <c r="O13" s="49"/>
      <c r="P13" s="49"/>
    </row>
    <row r="14" spans="1:16" ht="16" x14ac:dyDescent="0.2">
      <c r="A14" s="68" t="s">
        <v>39</v>
      </c>
      <c r="B14" s="52"/>
      <c r="C14" s="53">
        <v>2</v>
      </c>
      <c r="D14" s="54">
        <v>1</v>
      </c>
      <c r="E14" s="11">
        <v>1749</v>
      </c>
      <c r="F14" s="11">
        <f t="shared" ref="F14:F22" si="0">SUM(D14*E14)</f>
        <v>1749</v>
      </c>
      <c r="G14" s="56"/>
      <c r="H14" s="7">
        <f>SUM(F14*G14)</f>
        <v>0</v>
      </c>
      <c r="I14" s="7">
        <f>SUM(F14+H14)</f>
        <v>1749</v>
      </c>
      <c r="J14" s="57">
        <v>0.1</v>
      </c>
      <c r="K14" s="8">
        <f>SUM(C14*J14*(I14))</f>
        <v>349.8</v>
      </c>
      <c r="L14" s="9">
        <f>SUM(I14-K14)</f>
        <v>1399.2</v>
      </c>
      <c r="M14" s="58">
        <f>SUM(L14)</f>
        <v>1399.2</v>
      </c>
      <c r="N14" s="59"/>
      <c r="O14" s="60"/>
      <c r="P14" s="60"/>
    </row>
    <row r="15" spans="1:16" ht="16" x14ac:dyDescent="0.2">
      <c r="A15" s="68" t="s">
        <v>40</v>
      </c>
      <c r="B15" s="52"/>
      <c r="C15" s="53">
        <v>2</v>
      </c>
      <c r="D15" s="54">
        <v>1</v>
      </c>
      <c r="E15" s="11">
        <v>1749</v>
      </c>
      <c r="F15" s="11">
        <f t="shared" si="0"/>
        <v>1749</v>
      </c>
      <c r="G15" s="56"/>
      <c r="H15" s="7">
        <f t="shared" ref="H15:H22" si="1">SUM(F15*G15)</f>
        <v>0</v>
      </c>
      <c r="I15" s="7">
        <f t="shared" ref="I15:I22" si="2">SUM(F15+H15)</f>
        <v>1749</v>
      </c>
      <c r="J15" s="57">
        <v>0.1</v>
      </c>
      <c r="K15" s="8">
        <f t="shared" ref="K15:K22" si="3">SUM(C15*J15*(I15))</f>
        <v>349.8</v>
      </c>
      <c r="L15" s="9">
        <f t="shared" ref="L15:L22" si="4">SUM(I15-K15)</f>
        <v>1399.2</v>
      </c>
      <c r="M15" s="58">
        <f t="shared" ref="M15:M22" si="5">SUM(L15)</f>
        <v>1399.2</v>
      </c>
      <c r="N15" s="59"/>
      <c r="O15" s="60"/>
      <c r="P15" s="60"/>
    </row>
    <row r="16" spans="1:16" ht="16" x14ac:dyDescent="0.2">
      <c r="A16" s="69" t="s">
        <v>41</v>
      </c>
      <c r="B16" s="52"/>
      <c r="C16" s="53">
        <v>2</v>
      </c>
      <c r="D16" s="54">
        <v>1</v>
      </c>
      <c r="E16" s="11">
        <v>1299</v>
      </c>
      <c r="F16" s="11">
        <f t="shared" si="0"/>
        <v>1299</v>
      </c>
      <c r="G16" s="56"/>
      <c r="H16" s="7">
        <f t="shared" si="1"/>
        <v>0</v>
      </c>
      <c r="I16" s="7">
        <f t="shared" si="2"/>
        <v>1299</v>
      </c>
      <c r="J16" s="57">
        <v>0.1</v>
      </c>
      <c r="K16" s="8">
        <f t="shared" si="3"/>
        <v>259.8</v>
      </c>
      <c r="L16" s="9">
        <f t="shared" si="4"/>
        <v>1039.2</v>
      </c>
      <c r="M16" s="58">
        <f t="shared" si="5"/>
        <v>1039.2</v>
      </c>
      <c r="N16" s="59"/>
      <c r="O16" s="60"/>
      <c r="P16" s="60"/>
    </row>
    <row r="17" spans="1:16" ht="16" x14ac:dyDescent="0.2">
      <c r="A17" s="69" t="s">
        <v>41</v>
      </c>
      <c r="B17" s="52"/>
      <c r="C17" s="53">
        <v>2</v>
      </c>
      <c r="D17" s="54">
        <v>1</v>
      </c>
      <c r="E17" s="11">
        <v>1299</v>
      </c>
      <c r="F17" s="11">
        <f t="shared" si="0"/>
        <v>1299</v>
      </c>
      <c r="G17" s="56"/>
      <c r="H17" s="7">
        <f t="shared" si="1"/>
        <v>0</v>
      </c>
      <c r="I17" s="7">
        <f t="shared" si="2"/>
        <v>1299</v>
      </c>
      <c r="J17" s="57">
        <v>0.1</v>
      </c>
      <c r="K17" s="8">
        <f t="shared" si="3"/>
        <v>259.8</v>
      </c>
      <c r="L17" s="9">
        <f t="shared" si="4"/>
        <v>1039.2</v>
      </c>
      <c r="M17" s="58">
        <f t="shared" si="5"/>
        <v>1039.2</v>
      </c>
      <c r="N17" s="59"/>
      <c r="O17" s="60"/>
      <c r="P17" s="60"/>
    </row>
    <row r="18" spans="1:16" ht="16" x14ac:dyDescent="0.2">
      <c r="A18" s="70" t="s">
        <v>42</v>
      </c>
      <c r="B18" s="52"/>
      <c r="C18" s="53">
        <v>2</v>
      </c>
      <c r="D18" s="54">
        <v>1</v>
      </c>
      <c r="E18" s="11">
        <v>1099</v>
      </c>
      <c r="F18" s="11">
        <f t="shared" si="0"/>
        <v>1099</v>
      </c>
      <c r="G18" s="56"/>
      <c r="H18" s="7">
        <f t="shared" si="1"/>
        <v>0</v>
      </c>
      <c r="I18" s="7">
        <f t="shared" si="2"/>
        <v>1099</v>
      </c>
      <c r="J18" s="57">
        <v>0.1</v>
      </c>
      <c r="K18" s="8">
        <f t="shared" si="3"/>
        <v>219.8</v>
      </c>
      <c r="L18" s="9">
        <f t="shared" si="4"/>
        <v>879.2</v>
      </c>
      <c r="M18" s="58">
        <f t="shared" si="5"/>
        <v>879.2</v>
      </c>
      <c r="N18" s="59"/>
      <c r="O18" s="60"/>
      <c r="P18" s="60"/>
    </row>
    <row r="19" spans="1:16" ht="16" x14ac:dyDescent="0.2">
      <c r="A19" s="70" t="s">
        <v>42</v>
      </c>
      <c r="B19" s="52"/>
      <c r="C19" s="53">
        <v>2</v>
      </c>
      <c r="D19" s="54">
        <v>1</v>
      </c>
      <c r="E19" s="11">
        <v>1099</v>
      </c>
      <c r="F19" s="11">
        <f t="shared" si="0"/>
        <v>1099</v>
      </c>
      <c r="G19" s="56"/>
      <c r="H19" s="7">
        <f t="shared" si="1"/>
        <v>0</v>
      </c>
      <c r="I19" s="7">
        <f t="shared" si="2"/>
        <v>1099</v>
      </c>
      <c r="J19" s="57">
        <v>0.1</v>
      </c>
      <c r="K19" s="8">
        <f t="shared" si="3"/>
        <v>219.8</v>
      </c>
      <c r="L19" s="9">
        <f t="shared" si="4"/>
        <v>879.2</v>
      </c>
      <c r="M19" s="58">
        <f t="shared" si="5"/>
        <v>879.2</v>
      </c>
      <c r="N19" s="59"/>
      <c r="O19" s="60"/>
      <c r="P19" s="60"/>
    </row>
    <row r="20" spans="1:16" ht="16" x14ac:dyDescent="0.2">
      <c r="A20" s="71" t="s">
        <v>43</v>
      </c>
      <c r="B20" s="52"/>
      <c r="C20" s="53">
        <v>2</v>
      </c>
      <c r="D20" s="54">
        <v>1</v>
      </c>
      <c r="E20" s="11">
        <v>1399</v>
      </c>
      <c r="F20" s="11">
        <f t="shared" si="0"/>
        <v>1399</v>
      </c>
      <c r="G20" s="56"/>
      <c r="H20" s="7">
        <f t="shared" si="1"/>
        <v>0</v>
      </c>
      <c r="I20" s="7">
        <f t="shared" si="2"/>
        <v>1399</v>
      </c>
      <c r="J20" s="57">
        <v>0.1</v>
      </c>
      <c r="K20" s="8">
        <f t="shared" si="3"/>
        <v>279.8</v>
      </c>
      <c r="L20" s="9">
        <f t="shared" si="4"/>
        <v>1119.2</v>
      </c>
      <c r="M20" s="58">
        <f t="shared" si="5"/>
        <v>1119.2</v>
      </c>
      <c r="N20" s="59"/>
      <c r="O20" s="60"/>
      <c r="P20" s="60"/>
    </row>
    <row r="21" spans="1:16" ht="16" x14ac:dyDescent="0.2">
      <c r="A21" s="71" t="s">
        <v>43</v>
      </c>
      <c r="B21" s="52"/>
      <c r="C21" s="53">
        <v>2</v>
      </c>
      <c r="D21" s="54">
        <v>1</v>
      </c>
      <c r="E21" s="11">
        <v>1399</v>
      </c>
      <c r="F21" s="11">
        <f t="shared" si="0"/>
        <v>1399</v>
      </c>
      <c r="G21" s="56"/>
      <c r="H21" s="7">
        <f t="shared" si="1"/>
        <v>0</v>
      </c>
      <c r="I21" s="7">
        <f t="shared" si="2"/>
        <v>1399</v>
      </c>
      <c r="J21" s="57">
        <v>0.1</v>
      </c>
      <c r="K21" s="8">
        <f t="shared" si="3"/>
        <v>279.8</v>
      </c>
      <c r="L21" s="9">
        <f t="shared" si="4"/>
        <v>1119.2</v>
      </c>
      <c r="M21" s="58">
        <f t="shared" si="5"/>
        <v>1119.2</v>
      </c>
      <c r="N21" s="59"/>
      <c r="O21" s="60"/>
      <c r="P21" s="60"/>
    </row>
    <row r="22" spans="1:16" x14ac:dyDescent="0.15">
      <c r="A22" s="51"/>
      <c r="B22" s="52"/>
      <c r="C22" s="53"/>
      <c r="D22" s="54"/>
      <c r="E22" s="55"/>
      <c r="F22" s="11">
        <f t="shared" si="0"/>
        <v>0</v>
      </c>
      <c r="G22" s="56"/>
      <c r="H22" s="7">
        <f t="shared" si="1"/>
        <v>0</v>
      </c>
      <c r="I22" s="7">
        <f t="shared" si="2"/>
        <v>0</v>
      </c>
      <c r="J22" s="57"/>
      <c r="K22" s="8">
        <f t="shared" si="3"/>
        <v>0</v>
      </c>
      <c r="L22" s="9">
        <f t="shared" si="4"/>
        <v>0</v>
      </c>
      <c r="M22" s="58">
        <f t="shared" si="5"/>
        <v>0</v>
      </c>
      <c r="N22" s="59"/>
      <c r="O22" s="60"/>
      <c r="P22" s="60"/>
    </row>
    <row r="23" spans="1:16" ht="12.75" customHeight="1" x14ac:dyDescent="0.15">
      <c r="A23" s="61"/>
      <c r="B23" s="62"/>
      <c r="C23" s="53"/>
      <c r="D23" s="53"/>
      <c r="E23" s="63"/>
      <c r="F23" s="11">
        <f t="shared" ref="F23" si="6">SUM(D23*E23)</f>
        <v>0</v>
      </c>
      <c r="G23" s="56"/>
      <c r="H23" s="7">
        <f t="shared" ref="H23" si="7">SUM(F23*G23)</f>
        <v>0</v>
      </c>
      <c r="I23" s="7">
        <f t="shared" ref="I23" si="8">SUM(F23+H23)</f>
        <v>0</v>
      </c>
      <c r="J23" s="57"/>
      <c r="K23" s="8">
        <f t="shared" ref="K23" si="9">SUM(C23*J23*(I23))</f>
        <v>0</v>
      </c>
      <c r="L23" s="9">
        <f t="shared" ref="L23" si="10">SUM(I23-K23)</f>
        <v>0</v>
      </c>
      <c r="M23" s="58">
        <f t="shared" ref="M23" si="11">SUM(L23)</f>
        <v>0</v>
      </c>
      <c r="N23" s="59"/>
      <c r="O23" s="60"/>
      <c r="P23" s="60"/>
    </row>
    <row r="24" spans="1:16" ht="12.75" customHeight="1" x14ac:dyDescent="0.15">
      <c r="A24" s="60"/>
      <c r="B24" s="60"/>
      <c r="C24" s="60"/>
      <c r="D24" s="60"/>
      <c r="E24" s="60"/>
      <c r="F24" s="11"/>
      <c r="G24" s="60"/>
      <c r="H24" s="64"/>
      <c r="I24" s="64"/>
      <c r="J24" s="65"/>
      <c r="K24" s="64"/>
      <c r="L24" s="64"/>
      <c r="M24" s="58"/>
      <c r="N24" s="66"/>
      <c r="O24" s="60"/>
      <c r="P24" s="60"/>
    </row>
    <row r="25" spans="1:16" ht="12.75" customHeight="1" x14ac:dyDescent="0.15">
      <c r="A25" s="60"/>
      <c r="B25" s="60"/>
      <c r="C25" s="60"/>
      <c r="D25" s="60"/>
      <c r="E25" s="60"/>
      <c r="F25" s="11"/>
      <c r="G25" s="60"/>
      <c r="H25" s="64"/>
      <c r="I25" s="64"/>
      <c r="J25" s="65"/>
      <c r="K25" s="64"/>
      <c r="L25" s="64"/>
      <c r="M25" s="58"/>
      <c r="N25" s="66"/>
      <c r="O25" s="60"/>
      <c r="P25" s="60"/>
    </row>
    <row r="26" spans="1:16" ht="12.75" customHeight="1" x14ac:dyDescent="0.15">
      <c r="A26" s="60"/>
      <c r="B26" s="67"/>
      <c r="C26" s="60"/>
      <c r="D26" s="60"/>
      <c r="E26" s="60"/>
      <c r="F26" s="11"/>
      <c r="G26" s="65"/>
      <c r="H26" s="7">
        <f>SUM(H14:H23)</f>
        <v>0</v>
      </c>
      <c r="I26" s="7">
        <f>SUM(I14:I23)</f>
        <v>11092</v>
      </c>
      <c r="J26" s="65"/>
      <c r="K26" s="9">
        <f>SUM(K14:K23)</f>
        <v>2218.4</v>
      </c>
      <c r="L26" s="9">
        <f>SUM(L14:L23)</f>
        <v>8873.6</v>
      </c>
      <c r="M26" s="58">
        <f>SUM(M14:M23)</f>
        <v>8873.6</v>
      </c>
      <c r="N26" s="66"/>
      <c r="O26" s="10" t="s">
        <v>23</v>
      </c>
      <c r="P26" s="60"/>
    </row>
    <row r="27" spans="1:16" ht="14" thickBot="1" x14ac:dyDescent="0.2"/>
    <row r="28" spans="1:16" x14ac:dyDescent="0.15">
      <c r="E28" s="72"/>
      <c r="I28" s="12"/>
      <c r="J28" s="16"/>
      <c r="K28" s="21" t="s">
        <v>24</v>
      </c>
      <c r="L28" s="22"/>
      <c r="M28" s="23"/>
    </row>
    <row r="29" spans="1:16" x14ac:dyDescent="0.15">
      <c r="I29" s="15" t="s">
        <v>25</v>
      </c>
      <c r="J29" s="18">
        <f>SUM(I14:I23)</f>
        <v>11092</v>
      </c>
      <c r="K29" s="24"/>
      <c r="L29" s="24"/>
      <c r="M29" s="25"/>
    </row>
    <row r="30" spans="1:16" x14ac:dyDescent="0.15">
      <c r="I30" s="14"/>
      <c r="J30" s="19"/>
      <c r="K30" s="24"/>
      <c r="L30" s="24"/>
      <c r="M30" s="25"/>
    </row>
    <row r="31" spans="1:16" ht="14" thickBot="1" x14ac:dyDescent="0.2">
      <c r="I31" s="15" t="s">
        <v>26</v>
      </c>
      <c r="J31" s="18">
        <f>SUM(K14:K23)</f>
        <v>2218.4</v>
      </c>
      <c r="K31" s="24"/>
      <c r="L31" s="24"/>
      <c r="M31" s="25"/>
    </row>
    <row r="32" spans="1:16" ht="14" thickBot="1" x14ac:dyDescent="0.2">
      <c r="A32" s="73" t="s">
        <v>44</v>
      </c>
      <c r="I32" s="14"/>
      <c r="J32" s="19"/>
      <c r="K32" s="24"/>
      <c r="L32" s="24"/>
      <c r="M32" s="25"/>
    </row>
    <row r="33" spans="1:13" x14ac:dyDescent="0.15">
      <c r="A33" s="74">
        <f>SUM(E14:E21)</f>
        <v>11092</v>
      </c>
      <c r="I33" s="15" t="s">
        <v>27</v>
      </c>
      <c r="J33" s="18">
        <f>SUM(L14:L23)</f>
        <v>8873.6</v>
      </c>
      <c r="K33" s="24"/>
      <c r="L33" s="24"/>
      <c r="M33" s="25"/>
    </row>
    <row r="34" spans="1:13" ht="14" thickBot="1" x14ac:dyDescent="0.2">
      <c r="A34" s="75" t="s">
        <v>45</v>
      </c>
      <c r="I34" s="14"/>
      <c r="J34" s="19"/>
      <c r="K34" s="24"/>
      <c r="L34" s="24"/>
      <c r="M34" s="25"/>
    </row>
    <row r="35" spans="1:13" x14ac:dyDescent="0.15">
      <c r="I35" s="15" t="s">
        <v>28</v>
      </c>
      <c r="J35" s="18">
        <f>SUM(M14:M23)</f>
        <v>8873.6</v>
      </c>
      <c r="K35" s="26"/>
      <c r="L35" s="24"/>
      <c r="M35" s="25"/>
    </row>
    <row r="36" spans="1:13" x14ac:dyDescent="0.15">
      <c r="I36" s="13"/>
      <c r="J36" s="19"/>
      <c r="K36" s="24"/>
      <c r="L36" s="24"/>
      <c r="M36" s="25"/>
    </row>
    <row r="37" spans="1:13" x14ac:dyDescent="0.15">
      <c r="I37" s="15" t="s">
        <v>29</v>
      </c>
      <c r="J37" s="29">
        <v>5000</v>
      </c>
      <c r="K37" s="24"/>
      <c r="L37" s="24"/>
      <c r="M37" s="25"/>
    </row>
    <row r="38" spans="1:13" x14ac:dyDescent="0.15">
      <c r="I38" s="13"/>
      <c r="J38" s="19"/>
      <c r="K38" s="24"/>
      <c r="L38" s="24"/>
      <c r="M38" s="25"/>
    </row>
    <row r="39" spans="1:13" ht="14" thickBot="1" x14ac:dyDescent="0.2">
      <c r="I39" s="17" t="s">
        <v>30</v>
      </c>
      <c r="J39" s="20">
        <f>SUM(J35-J37)</f>
        <v>3873.6000000000004</v>
      </c>
      <c r="K39" s="27"/>
      <c r="L39" s="27"/>
      <c r="M39" s="28"/>
    </row>
    <row r="40" spans="1:13" ht="14" thickTop="1" x14ac:dyDescent="0.15"/>
  </sheetData>
  <sheetProtection formatCells="0" formatColumns="0" formatRows="0" insertColumns="0" insertRows="0" deleteColumns="0" deleteRows="0"/>
  <mergeCells count="1">
    <mergeCell ref="A13:B13"/>
  </mergeCells>
  <phoneticPr fontId="2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24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24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E0716228A0A4A9F9A4FE851A5DEE0" ma:contentTypeVersion="22" ma:contentTypeDescription="Create a new document." ma:contentTypeScope="" ma:versionID="4a83ad19b75314ed9d1d0ea96e355a8a">
  <xsd:schema xmlns:xsd="http://www.w3.org/2001/XMLSchema" xmlns:xs="http://www.w3.org/2001/XMLSchema" xmlns:p="http://schemas.microsoft.com/office/2006/metadata/properties" xmlns:ns2="6b0da074-f544-4efd-b9b3-e449d81da6e0" xmlns:ns3="f4635854-1d64-4175-b6ad-cd7f46c6d4f9" targetNamespace="http://schemas.microsoft.com/office/2006/metadata/properties" ma:root="true" ma:fieldsID="ff9eaee9ae0f7e4a17fb516f5fa348b5" ns2:_="" ns3:_="">
    <xsd:import namespace="6b0da074-f544-4efd-b9b3-e449d81da6e0"/>
    <xsd:import namespace="f4635854-1d64-4175-b6ad-cd7f46c6d4f9"/>
    <xsd:element name="properties">
      <xsd:complexType>
        <xsd:sequence>
          <xsd:element name="documentManagement">
            <xsd:complexType>
              <xsd:all>
                <xsd:element ref="ns2:TRV_Archived" minOccurs="0"/>
                <xsd:element ref="ns2:TRV_DivisionTaxHTField0" minOccurs="0"/>
                <xsd:element ref="ns2:TaxCatchAll" minOccurs="0"/>
                <xsd:element ref="ns3:b9bff81a260948438ab712aa3bf967dc" minOccurs="0"/>
                <xsd:element ref="ns2:TaxKeywordTaxHTFie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da074-f544-4efd-b9b3-e449d81da6e0" elementFormDefault="qualified">
    <xsd:import namespace="http://schemas.microsoft.com/office/2006/documentManagement/types"/>
    <xsd:import namespace="http://schemas.microsoft.com/office/infopath/2007/PartnerControls"/>
    <xsd:element name="TRV_Archived" ma:index="4" nillable="true" ma:displayName="Archived" ma:default="1" ma:internalName="TRV_Archived" ma:readOnly="false">
      <xsd:simpleType>
        <xsd:restriction base="dms:Boolean"/>
      </xsd:simpleType>
    </xsd:element>
    <xsd:element name="TRV_DivisionTaxHTField0" ma:index="6" nillable="true" ma:displayName="Division_0" ma:hidden="true" ma:internalName="TRV_DivisionTaxHTField0" ma:readOnly="false">
      <xsd:simpleType>
        <xsd:restriction base="dms:Note"/>
      </xsd:simpleType>
    </xsd:element>
    <xsd:element name="TaxCatchAll" ma:index="7" nillable="true" ma:displayName="Taxonomy Catch All Column" ma:hidden="true" ma:list="{3d665aed-8677-48ca-a4df-7b396236e289}" ma:internalName="TaxCatchAll" ma:showField="CatchAllData" ma:web="6b0da074-f544-4efd-b9b3-e449d81da6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7050a3c7-fb3a-4b40-ab38-d903da821e1d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35854-1d64-4175-b6ad-cd7f46c6d4f9" elementFormDefault="qualified">
    <xsd:import namespace="http://schemas.microsoft.com/office/2006/documentManagement/types"/>
    <xsd:import namespace="http://schemas.microsoft.com/office/infopath/2007/PartnerControls"/>
    <xsd:element name="b9bff81a260948438ab712aa3bf967dc" ma:index="9" nillable="true" ma:displayName="TRV_Records_Owner_0" ma:hidden="true" ma:internalName="b9bff81a260948438ab712aa3bf967dc" ma:readOnly="false">
      <xsd:simpleType>
        <xsd:restriction base="dms:Note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description="" ma:hidden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da074-f544-4efd-b9b3-e449d81da6e0" xsi:nil="true"/>
    <TaxKeywordTaxHTField xmlns="6b0da074-f544-4efd-b9b3-e449d81da6e0">
      <Terms xmlns="http://schemas.microsoft.com/office/infopath/2007/PartnerControls"/>
    </TaxKeywordTaxHTField>
    <TRV_DivisionTaxHTField0 xmlns="6b0da074-f544-4efd-b9b3-e449d81da6e0" xsi:nil="true"/>
    <b9bff81a260948438ab712aa3bf967dc xmlns="f4635854-1d64-4175-b6ad-cd7f46c6d4f9" xsi:nil="true"/>
    <TRV_Archived xmlns="6b0da074-f544-4efd-b9b3-e449d81da6e0">true</TRV_Archived>
  </documentManagement>
</p:properties>
</file>

<file path=customXml/itemProps1.xml><?xml version="1.0" encoding="utf-8"?>
<ds:datastoreItem xmlns:ds="http://schemas.openxmlformats.org/officeDocument/2006/customXml" ds:itemID="{3C6C95AD-879C-427A-A11B-9F7F74EC0A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9F480A-0D36-4460-9350-C9FDDD78F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da074-f544-4efd-b9b3-e449d81da6e0"/>
    <ds:schemaRef ds:uri="f4635854-1d64-4175-b6ad-cd7f46c6d4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80C5B2-22B6-46D7-A0F6-29C4F66B2078}">
  <ds:schemaRefs>
    <ds:schemaRef ds:uri="http://schemas.microsoft.com/office/2006/metadata/properties"/>
    <ds:schemaRef ds:uri="http://schemas.microsoft.com/office/infopath/2007/PartnerControls"/>
    <ds:schemaRef ds:uri="6b0da074-f544-4efd-b9b3-e449d81da6e0"/>
    <ds:schemaRef ds:uri="f4635854-1d64-4175-b6ad-cd7f46c6d4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>St. Paul Travelers - Office and Outlook 2003 v1.0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abrown3</dc:creator>
  <cp:keywords/>
  <dc:description/>
  <cp:lastModifiedBy>Emma Muhleman</cp:lastModifiedBy>
  <cp:revision/>
  <dcterms:created xsi:type="dcterms:W3CDTF">2011-07-21T15:28:54Z</dcterms:created>
  <dcterms:modified xsi:type="dcterms:W3CDTF">2026-01-07T19:30:14Z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0x010100848E0716228A0A4A9F9A4FE851A5DEE0</vt:lpwstr>
  </property>
  <property fmtid="{D5CDD505-2E9C-101B-9397-08002B2CF9AE}" pid="4" name="TRV_Records_Owner">
    <vt:lpwstr/>
  </property>
  <property fmtid="{D5CDD505-2E9C-101B-9397-08002B2CF9AE}" pid="5" name="TRV_Division">
    <vt:lpwstr/>
  </property>
  <property fmtid="{D5CDD505-2E9C-101B-9397-08002B2CF9AE}" pid="6" name="MSIP_Label_290f5e94-b30f-4e73-9b6b-e333361c0d6b_Enabled">
    <vt:lpwstr>true</vt:lpwstr>
  </property>
  <property fmtid="{D5CDD505-2E9C-101B-9397-08002B2CF9AE}" pid="7" name="MSIP_Label_290f5e94-b30f-4e73-9b6b-e333361c0d6b_SetDate">
    <vt:lpwstr>2024-07-03T17:40:58Z</vt:lpwstr>
  </property>
  <property fmtid="{D5CDD505-2E9C-101B-9397-08002B2CF9AE}" pid="8" name="MSIP_Label_290f5e94-b30f-4e73-9b6b-e333361c0d6b_Method">
    <vt:lpwstr>Standard</vt:lpwstr>
  </property>
  <property fmtid="{D5CDD505-2E9C-101B-9397-08002B2CF9AE}" pid="9" name="MSIP_Label_290f5e94-b30f-4e73-9b6b-e333361c0d6b_Name">
    <vt:lpwstr>290f5e94-b30f-4e73-9b6b-e333361c0d6b</vt:lpwstr>
  </property>
  <property fmtid="{D5CDD505-2E9C-101B-9397-08002B2CF9AE}" pid="10" name="MSIP_Label_290f5e94-b30f-4e73-9b6b-e333361c0d6b_SiteId">
    <vt:lpwstr>399ead0d-c7c4-4583-88a4-d98814f80b0e</vt:lpwstr>
  </property>
  <property fmtid="{D5CDD505-2E9C-101B-9397-08002B2CF9AE}" pid="11" name="MSIP_Label_290f5e94-b30f-4e73-9b6b-e333361c0d6b_ContentBits">
    <vt:lpwstr>0</vt:lpwstr>
  </property>
</Properties>
</file>