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Spare Time Inc (#1)/"/>
    </mc:Choice>
  </mc:AlternateContent>
  <xr:revisionPtr revIDLastSave="0" documentId="13_ncr:1_{215631CA-A3A8-844D-A180-FF9B1EBA08B1}" xr6:coauthVersionLast="47" xr6:coauthVersionMax="47" xr10:uidLastSave="{00000000-0000-0000-0000-000000000000}"/>
  <bookViews>
    <workbookView xWindow="6360" yWindow="134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9" i="1" l="1"/>
  <c r="H19" i="1" s="1"/>
  <c r="H11" i="1"/>
  <c r="L12" i="1"/>
  <c r="L13" i="1"/>
  <c r="L14" i="1"/>
  <c r="L15" i="1"/>
  <c r="L16" i="1"/>
  <c r="E18" i="1"/>
  <c r="H18" i="1"/>
  <c r="E12" i="1"/>
  <c r="H12" i="1"/>
  <c r="E13" i="1"/>
  <c r="H13" i="1"/>
  <c r="E14" i="1"/>
  <c r="H14" i="1"/>
  <c r="K14" i="1" s="1"/>
  <c r="E15" i="1"/>
  <c r="H15" i="1"/>
  <c r="E16" i="1"/>
  <c r="H16" i="1"/>
  <c r="E19" i="1"/>
  <c r="E11" i="1"/>
  <c r="K19" i="1" l="1"/>
  <c r="M19" i="1" s="1"/>
  <c r="K12" i="1"/>
  <c r="M12" i="1" s="1"/>
  <c r="K16" i="1"/>
  <c r="M16" i="1" s="1"/>
  <c r="K18" i="1"/>
  <c r="M18" i="1" s="1"/>
  <c r="K15" i="1"/>
  <c r="M15" i="1" s="1"/>
  <c r="K13" i="1"/>
  <c r="M13" i="1" s="1"/>
  <c r="K11" i="1"/>
  <c r="M14" i="1"/>
  <c r="E17" i="1" l="1"/>
  <c r="H17" i="1"/>
  <c r="K17" i="1" s="1"/>
  <c r="E20" i="1" l="1"/>
  <c r="E22" i="1" s="1"/>
  <c r="E25" i="1" s="1"/>
  <c r="M17" i="1"/>
  <c r="H20" i="1" l="1"/>
  <c r="H22" i="1" s="1"/>
  <c r="E28" i="1" s="1"/>
  <c r="K20" i="1"/>
  <c r="K22" i="1" s="1"/>
  <c r="E31" i="1" s="1"/>
  <c r="M11" i="1" l="1"/>
  <c r="M20" i="1" s="1"/>
  <c r="M22" i="1" s="1"/>
  <c r="E34" i="1" s="1"/>
</calcChain>
</file>

<file path=xl/sharedStrings.xml><?xml version="1.0" encoding="utf-8"?>
<sst xmlns="http://schemas.openxmlformats.org/spreadsheetml/2006/main" count="65" uniqueCount="46">
  <si>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</si>
  <si>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</si>
  <si>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</si>
  <si>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</si>
  <si>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</si>
  <si>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</si>
  <si>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</si>
  <si>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</si>
  <si>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</si>
  <si>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</si>
  <si>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</si>
  <si>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</si>
  <si>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</si>
  <si>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</si>
  <si>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</si>
  <si>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</si>
  <si>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</si>
  <si>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</si>
  <si>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</si>
  <si>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</si>
  <si>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SPARE TIME INC.</t>
  </si>
  <si>
    <t>CAUSE OF LOSS: VANDALISM / THEFT</t>
  </si>
  <si>
    <t>DATE OF LOSS: 12/24/2025</t>
  </si>
  <si>
    <t xml:space="preserve">LSG MATTER #: 426600.4162-00 </t>
  </si>
  <si>
    <t>CLAIM #: 85-00893419</t>
  </si>
  <si>
    <t xml:space="preserve">DEMO AND REPLACE TWO 10 TON CARRIER UNITS. </t>
  </si>
  <si>
    <t xml:space="preserve">DISPOSAL AND RECYCLING. </t>
  </si>
  <si>
    <t>CRANE AND RIGGING</t>
  </si>
  <si>
    <t>TIE INTO EXISTING GAS PIPING</t>
  </si>
  <si>
    <t xml:space="preserve">NEW DISCONNECTS, FUSES, CONDUIT, BREAKERS. </t>
  </si>
  <si>
    <t>RECONNECT WIRING AND THERMOSTAT</t>
  </si>
  <si>
    <t>NEW CONDENSATE PIPING</t>
  </si>
  <si>
    <t>LABOR FOR THE REPLACEMENT</t>
  </si>
  <si>
    <t xml:space="preserve">DEMO AND REPLACE TWO 10 TON CARRIER UNITS. THIS PRICE WAS PROVIDED TO US IN A LUMP SUM COST. WITH HELP FROM THE VENDOR WE WERE ABLE TO BREAK THIS COST DOWN AS FOLLOWS. </t>
  </si>
  <si>
    <t>N/A</t>
  </si>
  <si>
    <t>FOUR TECHNICIANS FOR 3 DAYS OF WORK.</t>
  </si>
  <si>
    <t>AVERAGE</t>
  </si>
  <si>
    <t>TIE INTO EXISTING GAS PIPING. COPPER CONNECTIONS, PIPING, PIPE-DOPE, ETC.</t>
  </si>
  <si>
    <t xml:space="preserve">RECONNECTING AND PULLING NEW WIRE FOR THERMOSTAT. </t>
  </si>
  <si>
    <t xml:space="preserve">NEW CONDENSATION DRAIN LINES. </t>
  </si>
  <si>
    <t>DEMO AND REMOVE DAMAGED UNITS</t>
  </si>
  <si>
    <t xml:space="preserve">CRANE AND RIGGING TO REMOVE THE DAMAGED UNITS AND PLACE THE TWO NEW UNITS. </t>
  </si>
  <si>
    <t>BRYANT 10 TON RTU'S</t>
  </si>
  <si>
    <t xml:space="preserve">TWO REPLACEMENT BRYANT BRAND 10 TON RTU'S. GAS HEAT ELECTRIC COOLING. WITH AN ADDED VENDOR MARK UP ON MATERIALS. </t>
  </si>
  <si>
    <t xml:space="preserve">HIGH VOLTAGE ELECTRICAL EQUIPMENT. </t>
  </si>
  <si>
    <t>IRON MECHANICAL (916-347-6292) ESTIMATE # 25-SP-495 (REPLACEMENT OF RTU 1-G &amp; 1-H)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</si>
</sst>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rgb="FF000000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1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44" fontId="7" fillId="0" borderId="0" xfId="0" applyNumberFormat="1" applyFont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6" fillId="0" borderId="13" xfId="0" applyNumberFormat="1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left" wrapText="1"/>
    </xf>
    <xf numFmtId="44" fontId="7" fillId="2" borderId="16" xfId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0" fontId="7" fillId="0" borderId="16" xfId="0" applyFont="1" applyBorder="1" applyAlignment="1">
      <alignment horizontal="left" wrapText="1"/>
    </xf>
    <xf numFmtId="44" fontId="7" fillId="0" borderId="16" xfId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 wrapText="1"/>
    </xf>
    <xf numFmtId="0" fontId="7" fillId="5" borderId="16" xfId="0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left" wrapText="1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/>
    </xf>
    <xf numFmtId="9" fontId="7" fillId="2" borderId="23" xfId="6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left" wrapText="1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5"/>
  <sheetViews>
    <sheetView tabSelected="1" topLeftCell="A2" zoomScale="80" zoomScaleNormal="80" zoomScalePageLayoutView="90" workbookViewId="0">
      <selection activeCell="G12" sqref="G12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4" customWidth="1"/>
    <col min="4" max="5" width="17.6640625" style="4" customWidth="1"/>
    <col min="6" max="6" width="5.6640625" style="4" customWidth="1"/>
    <col min="7" max="8" width="17.6640625" style="4" customWidth="1"/>
    <col min="9" max="10" width="9.6640625" style="4" customWidth="1"/>
    <col min="11" max="13" width="17.6640625" style="4" customWidth="1"/>
    <col min="14" max="14" width="13.6640625" style="4" customWidth="1"/>
    <col min="15" max="15" width="47.6640625" style="8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48" t="s">
        <v>20</v>
      </c>
      <c r="B1" s="49"/>
      <c r="C1" s="49"/>
      <c r="D1" s="49"/>
      <c r="E1" s="50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51" t="s">
        <v>23</v>
      </c>
      <c r="B2" s="52"/>
      <c r="C2" s="52"/>
      <c r="D2" s="52"/>
      <c r="E2" s="53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51" t="s">
        <v>24</v>
      </c>
      <c r="B3" s="52"/>
      <c r="C3" s="52"/>
      <c r="D3" s="52"/>
      <c r="E3" s="53"/>
      <c r="F3" s="1"/>
      <c r="G3"/>
      <c r="H3"/>
      <c r="I3"/>
      <c r="J3" s="1"/>
      <c r="K3" s="1"/>
      <c r="L3"/>
      <c r="M3" s="1"/>
      <c r="N3" s="1"/>
      <c r="O3" s="5"/>
      <c r="P3" s="5"/>
    </row>
    <row r="4" spans="1:18" ht="15.75" customHeight="1" x14ac:dyDescent="0.2">
      <c r="A4" s="51" t="s">
        <v>22</v>
      </c>
      <c r="B4" s="52"/>
      <c r="C4" s="52"/>
      <c r="D4" s="52"/>
      <c r="E4" s="53"/>
      <c r="F4" s="6"/>
      <c r="G4"/>
      <c r="H4"/>
      <c r="I4"/>
      <c r="J4" s="7"/>
      <c r="K4" s="7"/>
      <c r="L4" s="1"/>
      <c r="O4" s="3"/>
    </row>
    <row r="5" spans="1:18" ht="15.75" customHeight="1" thickBot="1" x14ac:dyDescent="0.25">
      <c r="A5" s="54" t="s">
        <v>21</v>
      </c>
      <c r="B5" s="55"/>
      <c r="C5" s="55"/>
      <c r="D5" s="55"/>
      <c r="E5" s="56"/>
      <c r="F5" s="1"/>
      <c r="G5"/>
      <c r="H5"/>
      <c r="I5"/>
      <c r="J5" s="1"/>
      <c r="K5" s="1"/>
      <c r="L5" s="1"/>
      <c r="O5" s="3"/>
    </row>
    <row r="8" spans="1:18" s="9" customFormat="1" ht="25.5" customHeight="1" x14ac:dyDescent="0.15">
      <c r="A8" s="35" t="s">
        <v>45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</row>
    <row r="9" spans="1:18" ht="24" customHeight="1" x14ac:dyDescent="0.2">
      <c r="A9" s="38" t="s">
        <v>0</v>
      </c>
      <c r="B9" s="40" t="s">
        <v>1</v>
      </c>
      <c r="C9" s="42" t="s">
        <v>2</v>
      </c>
      <c r="D9" s="43"/>
      <c r="E9" s="44"/>
      <c r="F9" s="42" t="s">
        <v>3</v>
      </c>
      <c r="G9" s="43"/>
      <c r="H9" s="44"/>
      <c r="I9" s="45" t="s">
        <v>4</v>
      </c>
      <c r="J9" s="45" t="s">
        <v>5</v>
      </c>
      <c r="K9" s="45" t="s">
        <v>6</v>
      </c>
      <c r="L9" s="45" t="s">
        <v>7</v>
      </c>
      <c r="M9" s="45" t="s">
        <v>8</v>
      </c>
      <c r="N9" s="45" t="s">
        <v>9</v>
      </c>
      <c r="O9" s="38" t="s">
        <v>10</v>
      </c>
    </row>
    <row r="10" spans="1:18" s="4" customFormat="1" ht="24" customHeight="1" thickBot="1" x14ac:dyDescent="0.25">
      <c r="A10" s="39"/>
      <c r="B10" s="41"/>
      <c r="C10" s="11" t="s">
        <v>11</v>
      </c>
      <c r="D10" s="10" t="s">
        <v>12</v>
      </c>
      <c r="E10" s="12" t="s">
        <v>13</v>
      </c>
      <c r="F10" s="12" t="s">
        <v>11</v>
      </c>
      <c r="G10" s="12" t="s">
        <v>12</v>
      </c>
      <c r="H10" s="12" t="s">
        <v>13</v>
      </c>
      <c r="I10" s="46"/>
      <c r="J10" s="46"/>
      <c r="K10" s="46"/>
      <c r="L10" s="46"/>
      <c r="M10" s="46"/>
      <c r="N10" s="46"/>
      <c r="O10" s="39"/>
    </row>
    <row r="11" spans="1:18" s="4" customFormat="1" ht="85" x14ac:dyDescent="0.2">
      <c r="A11" s="81">
        <v>1</v>
      </c>
      <c r="B11" s="82" t="s">
        <v>25</v>
      </c>
      <c r="C11" s="83">
        <v>1</v>
      </c>
      <c r="D11" s="84">
        <v>70641</v>
      </c>
      <c r="E11" s="84">
        <f>C11*D11</f>
        <v>70641</v>
      </c>
      <c r="F11" s="83">
        <v>0</v>
      </c>
      <c r="G11" s="84">
        <v>0</v>
      </c>
      <c r="H11" s="84">
        <f>F11*G11</f>
        <v>0</v>
      </c>
      <c r="I11" s="85" t="s">
        <v>34</v>
      </c>
      <c r="J11" s="85" t="s">
        <v>34</v>
      </c>
      <c r="K11" s="84">
        <f>H11*(1-L11)</f>
        <v>0</v>
      </c>
      <c r="L11" s="86">
        <v>0</v>
      </c>
      <c r="M11" s="84">
        <f>H11-K11</f>
        <v>0</v>
      </c>
      <c r="N11" s="87" t="s">
        <v>34</v>
      </c>
      <c r="O11" s="88" t="s">
        <v>33</v>
      </c>
      <c r="R11" s="26"/>
    </row>
    <row r="12" spans="1:18" s="4" customFormat="1" ht="68" x14ac:dyDescent="0.2">
      <c r="A12" s="89">
        <v>2</v>
      </c>
      <c r="B12" s="76" t="s">
        <v>42</v>
      </c>
      <c r="C12" s="70">
        <v>0</v>
      </c>
      <c r="D12" s="77">
        <v>0</v>
      </c>
      <c r="E12" s="77">
        <f t="shared" ref="E12:E19" si="0">C12*D12</f>
        <v>0</v>
      </c>
      <c r="F12" s="70">
        <v>2</v>
      </c>
      <c r="G12" s="77">
        <v>22100</v>
      </c>
      <c r="H12" s="77">
        <f t="shared" ref="H12" si="1">F12*G12</f>
        <v>44200</v>
      </c>
      <c r="I12" s="80">
        <v>20</v>
      </c>
      <c r="J12" s="80">
        <v>20</v>
      </c>
      <c r="K12" s="72">
        <f t="shared" ref="K12:K19" si="2">H12*(1-L12)</f>
        <v>11050</v>
      </c>
      <c r="L12" s="74">
        <f t="shared" ref="L12:L16" si="3">IF((I12/J12)&gt;=0.75,0.75,IF((I12/J12)&gt;=0.1,(I12/J12),IF((I12/J12)&lt;=0.1,0.1)))</f>
        <v>0.75</v>
      </c>
      <c r="M12" s="72">
        <f t="shared" ref="M12:M19" si="4">H12-K12</f>
        <v>33150</v>
      </c>
      <c r="N12" s="78" t="s">
        <v>36</v>
      </c>
      <c r="O12" s="90" t="s">
        <v>43</v>
      </c>
    </row>
    <row r="13" spans="1:18" s="4" customFormat="1" ht="65" customHeight="1" x14ac:dyDescent="0.2">
      <c r="A13" s="91">
        <v>3</v>
      </c>
      <c r="B13" s="71" t="s">
        <v>28</v>
      </c>
      <c r="C13" s="70">
        <v>0</v>
      </c>
      <c r="D13" s="72">
        <v>0</v>
      </c>
      <c r="E13" s="72">
        <f t="shared" si="0"/>
        <v>0</v>
      </c>
      <c r="F13" s="70">
        <v>2</v>
      </c>
      <c r="G13" s="72">
        <v>100</v>
      </c>
      <c r="H13" s="72">
        <f>F13*G13</f>
        <v>200</v>
      </c>
      <c r="I13" s="80">
        <v>20</v>
      </c>
      <c r="J13" s="80">
        <v>20</v>
      </c>
      <c r="K13" s="72">
        <f t="shared" si="2"/>
        <v>50</v>
      </c>
      <c r="L13" s="74">
        <f t="shared" si="3"/>
        <v>0.75</v>
      </c>
      <c r="M13" s="72">
        <f t="shared" si="4"/>
        <v>150</v>
      </c>
      <c r="N13" s="75" t="s">
        <v>36</v>
      </c>
      <c r="O13" s="92" t="s">
        <v>37</v>
      </c>
    </row>
    <row r="14" spans="1:18" s="4" customFormat="1" ht="65" customHeight="1" x14ac:dyDescent="0.2">
      <c r="A14" s="89">
        <v>4</v>
      </c>
      <c r="B14" s="76" t="s">
        <v>44</v>
      </c>
      <c r="C14" s="70">
        <v>0</v>
      </c>
      <c r="D14" s="77">
        <v>0</v>
      </c>
      <c r="E14" s="77">
        <f t="shared" si="0"/>
        <v>0</v>
      </c>
      <c r="F14" s="70">
        <v>2</v>
      </c>
      <c r="G14" s="77">
        <v>1500</v>
      </c>
      <c r="H14" s="77">
        <f t="shared" ref="H14" si="5">F14*G14</f>
        <v>3000</v>
      </c>
      <c r="I14" s="80">
        <v>20</v>
      </c>
      <c r="J14" s="80">
        <v>20</v>
      </c>
      <c r="K14" s="72">
        <f t="shared" si="2"/>
        <v>750</v>
      </c>
      <c r="L14" s="74">
        <f t="shared" si="3"/>
        <v>0.75</v>
      </c>
      <c r="M14" s="72">
        <f t="shared" si="4"/>
        <v>2250</v>
      </c>
      <c r="N14" s="78" t="s">
        <v>36</v>
      </c>
      <c r="O14" s="90" t="s">
        <v>29</v>
      </c>
    </row>
    <row r="15" spans="1:18" s="4" customFormat="1" ht="65" customHeight="1" x14ac:dyDescent="0.2">
      <c r="A15" s="91">
        <v>5</v>
      </c>
      <c r="B15" s="71" t="s">
        <v>30</v>
      </c>
      <c r="C15" s="70">
        <v>0</v>
      </c>
      <c r="D15" s="72">
        <v>0</v>
      </c>
      <c r="E15" s="72">
        <f t="shared" si="0"/>
        <v>0</v>
      </c>
      <c r="F15" s="70">
        <v>2</v>
      </c>
      <c r="G15" s="72">
        <v>100</v>
      </c>
      <c r="H15" s="72">
        <f>F15*G15</f>
        <v>200</v>
      </c>
      <c r="I15" s="80">
        <v>20</v>
      </c>
      <c r="J15" s="80">
        <v>20</v>
      </c>
      <c r="K15" s="72">
        <f t="shared" si="2"/>
        <v>50</v>
      </c>
      <c r="L15" s="74">
        <f t="shared" si="3"/>
        <v>0.75</v>
      </c>
      <c r="M15" s="72">
        <f t="shared" si="4"/>
        <v>150</v>
      </c>
      <c r="N15" s="75" t="s">
        <v>36</v>
      </c>
      <c r="O15" s="92" t="s">
        <v>38</v>
      </c>
    </row>
    <row r="16" spans="1:18" s="4" customFormat="1" ht="65" customHeight="1" x14ac:dyDescent="0.2">
      <c r="A16" s="89">
        <v>6</v>
      </c>
      <c r="B16" s="76" t="s">
        <v>31</v>
      </c>
      <c r="C16" s="70">
        <v>0</v>
      </c>
      <c r="D16" s="77">
        <v>0</v>
      </c>
      <c r="E16" s="77">
        <f t="shared" si="0"/>
        <v>0</v>
      </c>
      <c r="F16" s="70">
        <v>2</v>
      </c>
      <c r="G16" s="77">
        <v>100</v>
      </c>
      <c r="H16" s="77">
        <f t="shared" ref="H16" si="6">F16*G16</f>
        <v>200</v>
      </c>
      <c r="I16" s="80">
        <v>20</v>
      </c>
      <c r="J16" s="80">
        <v>20</v>
      </c>
      <c r="K16" s="72">
        <f t="shared" si="2"/>
        <v>50</v>
      </c>
      <c r="L16" s="74">
        <f t="shared" si="3"/>
        <v>0.75</v>
      </c>
      <c r="M16" s="72">
        <f t="shared" si="4"/>
        <v>150</v>
      </c>
      <c r="N16" s="78" t="s">
        <v>36</v>
      </c>
      <c r="O16" s="90" t="s">
        <v>39</v>
      </c>
    </row>
    <row r="17" spans="1:15" s="4" customFormat="1" ht="65" customHeight="1" x14ac:dyDescent="0.2">
      <c r="A17" s="89">
        <v>7</v>
      </c>
      <c r="B17" s="76" t="s">
        <v>40</v>
      </c>
      <c r="C17" s="70">
        <v>0</v>
      </c>
      <c r="D17" s="77">
        <v>0</v>
      </c>
      <c r="E17" s="77">
        <f>C17*D17</f>
        <v>0</v>
      </c>
      <c r="F17" s="70">
        <v>1</v>
      </c>
      <c r="G17" s="77">
        <v>1500</v>
      </c>
      <c r="H17" s="77">
        <f t="shared" ref="H17" si="7">F17*G17</f>
        <v>1500</v>
      </c>
      <c r="I17" s="73" t="s">
        <v>34</v>
      </c>
      <c r="J17" s="73" t="s">
        <v>34</v>
      </c>
      <c r="K17" s="72">
        <f>H17*(1-L17)</f>
        <v>1500</v>
      </c>
      <c r="L17" s="74">
        <v>0</v>
      </c>
      <c r="M17" s="72">
        <f>H17-K17</f>
        <v>0</v>
      </c>
      <c r="N17" s="78" t="s">
        <v>34</v>
      </c>
      <c r="O17" s="90" t="s">
        <v>26</v>
      </c>
    </row>
    <row r="18" spans="1:15" s="4" customFormat="1" ht="65" customHeight="1" x14ac:dyDescent="0.2">
      <c r="A18" s="91">
        <v>8</v>
      </c>
      <c r="B18" s="71" t="s">
        <v>27</v>
      </c>
      <c r="C18" s="70">
        <v>0</v>
      </c>
      <c r="D18" s="72">
        <v>0</v>
      </c>
      <c r="E18" s="72">
        <f>C18*D18</f>
        <v>0</v>
      </c>
      <c r="F18" s="70">
        <v>1</v>
      </c>
      <c r="G18" s="72">
        <v>2141</v>
      </c>
      <c r="H18" s="72">
        <f>F18*G18</f>
        <v>2141</v>
      </c>
      <c r="I18" s="79" t="s">
        <v>34</v>
      </c>
      <c r="J18" s="79" t="s">
        <v>34</v>
      </c>
      <c r="K18" s="72">
        <f>H18*(1-L18)</f>
        <v>2141</v>
      </c>
      <c r="L18" s="74">
        <v>0</v>
      </c>
      <c r="M18" s="72">
        <f>H18-K18</f>
        <v>0</v>
      </c>
      <c r="N18" s="75" t="s">
        <v>34</v>
      </c>
      <c r="O18" s="92" t="s">
        <v>41</v>
      </c>
    </row>
    <row r="19" spans="1:15" s="4" customFormat="1" ht="65" customHeight="1" thickBot="1" x14ac:dyDescent="0.25">
      <c r="A19" s="93">
        <v>9</v>
      </c>
      <c r="B19" s="94" t="s">
        <v>32</v>
      </c>
      <c r="C19" s="95">
        <v>0</v>
      </c>
      <c r="D19" s="96">
        <v>0</v>
      </c>
      <c r="E19" s="96">
        <f t="shared" si="0"/>
        <v>0</v>
      </c>
      <c r="F19" s="95">
        <f>4*8*3</f>
        <v>96</v>
      </c>
      <c r="G19" s="96">
        <v>200</v>
      </c>
      <c r="H19" s="96">
        <f>F19*G19</f>
        <v>19200</v>
      </c>
      <c r="I19" s="97" t="s">
        <v>34</v>
      </c>
      <c r="J19" s="97" t="s">
        <v>34</v>
      </c>
      <c r="K19" s="96">
        <f t="shared" si="2"/>
        <v>19200</v>
      </c>
      <c r="L19" s="98">
        <v>0</v>
      </c>
      <c r="M19" s="96">
        <f t="shared" si="4"/>
        <v>0</v>
      </c>
      <c r="N19" s="99" t="s">
        <v>34</v>
      </c>
      <c r="O19" s="100" t="s">
        <v>35</v>
      </c>
    </row>
    <row r="20" spans="1:15" s="4" customFormat="1" ht="18" customHeight="1" thickBot="1" x14ac:dyDescent="0.25">
      <c r="A20" s="61" t="s">
        <v>14</v>
      </c>
      <c r="B20" s="62"/>
      <c r="C20" s="62"/>
      <c r="D20" s="63"/>
      <c r="E20" s="13">
        <f>SUM(E11:E19)</f>
        <v>70641</v>
      </c>
      <c r="F20" s="14"/>
      <c r="G20" s="15"/>
      <c r="H20" s="16">
        <f>SUM(H11:H19)</f>
        <v>70641</v>
      </c>
      <c r="I20" s="64"/>
      <c r="J20" s="65"/>
      <c r="K20" s="17">
        <f>SUM(K11:K19)</f>
        <v>34791</v>
      </c>
      <c r="L20" s="17"/>
      <c r="M20" s="17">
        <f>SUM(M11:M19)</f>
        <v>35850</v>
      </c>
      <c r="N20"/>
    </row>
    <row r="21" spans="1:15" s="4" customFormat="1" ht="18" customHeight="1" x14ac:dyDescent="0.2">
      <c r="A21" s="57" t="s">
        <v>15</v>
      </c>
      <c r="B21" s="58"/>
      <c r="C21" s="58"/>
      <c r="D21" s="59"/>
      <c r="E21" s="18">
        <v>0</v>
      </c>
      <c r="F21" s="19"/>
      <c r="G21" s="20"/>
      <c r="H21" s="18">
        <v>0</v>
      </c>
      <c r="I21" s="68"/>
      <c r="J21" s="69"/>
      <c r="K21" s="21">
        <v>0</v>
      </c>
      <c r="L21" s="21"/>
      <c r="M21" s="21">
        <v>0</v>
      </c>
      <c r="N21"/>
    </row>
    <row r="22" spans="1:15" s="4" customFormat="1" ht="18" customHeight="1" thickBot="1" x14ac:dyDescent="0.25">
      <c r="A22" s="57" t="s">
        <v>13</v>
      </c>
      <c r="B22" s="58"/>
      <c r="C22" s="58"/>
      <c r="D22" s="59"/>
      <c r="E22" s="22">
        <f>SUM(E20:E21)</f>
        <v>70641</v>
      </c>
      <c r="F22" s="23"/>
      <c r="G22" s="24"/>
      <c r="H22" s="22">
        <f>SUM(H20,H21)</f>
        <v>70641</v>
      </c>
      <c r="I22" s="66"/>
      <c r="J22" s="67"/>
      <c r="K22" s="25">
        <f>SUM(K20:K21)</f>
        <v>34791</v>
      </c>
      <c r="L22" s="25"/>
      <c r="M22" s="25">
        <f>SUM(M20:M21)</f>
        <v>35850</v>
      </c>
      <c r="N22"/>
    </row>
    <row r="23" spans="1:15" ht="12.75" customHeight="1" x14ac:dyDescent="0.2">
      <c r="A23" s="60"/>
      <c r="B23" s="60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5" spans="1:15" x14ac:dyDescent="0.2">
      <c r="B25" s="27" t="s">
        <v>16</v>
      </c>
      <c r="C25" s="28"/>
      <c r="D25" s="29"/>
      <c r="E25" s="33">
        <f>E22</f>
        <v>70641</v>
      </c>
    </row>
    <row r="26" spans="1:15" x14ac:dyDescent="0.2">
      <c r="B26" s="30"/>
      <c r="C26" s="31"/>
      <c r="D26" s="32"/>
      <c r="E26" s="47"/>
    </row>
    <row r="28" spans="1:15" x14ac:dyDescent="0.2">
      <c r="B28" s="27" t="s">
        <v>17</v>
      </c>
      <c r="C28" s="28"/>
      <c r="D28" s="29"/>
      <c r="E28" s="33">
        <f>H22</f>
        <v>70641</v>
      </c>
    </row>
    <row r="29" spans="1:15" x14ac:dyDescent="0.2">
      <c r="B29" s="30"/>
      <c r="C29" s="31"/>
      <c r="D29" s="32"/>
      <c r="E29" s="47"/>
    </row>
    <row r="31" spans="1:15" x14ac:dyDescent="0.2">
      <c r="B31" s="27" t="s">
        <v>18</v>
      </c>
      <c r="C31" s="28"/>
      <c r="D31" s="29"/>
      <c r="E31" s="33">
        <f>K22</f>
        <v>34791</v>
      </c>
    </row>
    <row r="32" spans="1:15" x14ac:dyDescent="0.2">
      <c r="B32" s="30"/>
      <c r="C32" s="31"/>
      <c r="D32" s="32"/>
      <c r="E32" s="47"/>
      <c r="I32" s="7"/>
      <c r="J32" s="7"/>
      <c r="K32" s="7"/>
      <c r="L32" s="7"/>
    </row>
    <row r="33" spans="2:12" x14ac:dyDescent="0.2">
      <c r="I33" s="7"/>
      <c r="J33" s="7"/>
      <c r="K33" s="7"/>
      <c r="L33" s="7"/>
    </row>
    <row r="34" spans="2:12" x14ac:dyDescent="0.2">
      <c r="B34" s="27" t="s">
        <v>19</v>
      </c>
      <c r="C34" s="28"/>
      <c r="D34" s="29"/>
      <c r="E34" s="33">
        <f>M22</f>
        <v>35850</v>
      </c>
    </row>
    <row r="35" spans="2:12" x14ac:dyDescent="0.2">
      <c r="B35" s="30"/>
      <c r="C35" s="31"/>
      <c r="D35" s="32"/>
      <c r="E35" s="34"/>
    </row>
  </sheetData>
  <mergeCells count="32">
    <mergeCell ref="A21:D21"/>
    <mergeCell ref="I21:J21"/>
    <mergeCell ref="A22:D22"/>
    <mergeCell ref="I22:J22"/>
    <mergeCell ref="A23:B23"/>
    <mergeCell ref="F9:H9"/>
    <mergeCell ref="A9:A10"/>
    <mergeCell ref="A8:O8"/>
    <mergeCell ref="C9:E9"/>
    <mergeCell ref="B9:B10"/>
    <mergeCell ref="A20:D20"/>
    <mergeCell ref="I20:J20"/>
    <mergeCell ref="L9:L10"/>
    <mergeCell ref="O9:O10"/>
    <mergeCell ref="I9:I10"/>
    <mergeCell ref="J9:J10"/>
    <mergeCell ref="K9:K10"/>
    <mergeCell ref="M9:M10"/>
    <mergeCell ref="N9:N10"/>
    <mergeCell ref="B31:D32"/>
    <mergeCell ref="E31:E32"/>
    <mergeCell ref="A1:E1"/>
    <mergeCell ref="A2:E2"/>
    <mergeCell ref="A3:E3"/>
    <mergeCell ref="A4:E4"/>
    <mergeCell ref="A5:E5"/>
    <mergeCell ref="E25:E26"/>
    <mergeCell ref="E28:E29"/>
    <mergeCell ref="B34:D35"/>
    <mergeCell ref="E34:E35"/>
    <mergeCell ref="B25:D26"/>
    <mergeCell ref="B28:D29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2026-02-07T18:19:17Z</dcterms:modified>
  <cp:category/>
  <cp:contentStatus/>
</cp:coreProperties>
</file>