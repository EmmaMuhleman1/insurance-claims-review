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ay Crane Service 1 (replacement of CDU)/"/>
    </mc:Choice>
  </mc:AlternateContent>
  <xr:revisionPtr revIDLastSave="0" documentId="13_ncr:1_{56702E50-A9B6-EE4D-A4B4-F10990EE3DA7}" xr6:coauthVersionLast="47" xr6:coauthVersionMax="47" xr10:uidLastSave="{00000000-0000-0000-0000-000000000000}"/>
  <bookViews>
    <workbookView xWindow="2540" yWindow="392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7" i="1" l="1"/>
  <c r="H11" i="1" l="1"/>
  <c r="L11" i="1"/>
  <c r="E11" i="1"/>
  <c r="K11" i="1" l="1"/>
  <c r="E12" i="1" l="1"/>
  <c r="E14" i="1" s="1"/>
  <c r="H12" i="1" l="1"/>
  <c r="H14" i="1" s="1"/>
  <c r="E20" i="1" s="1"/>
  <c r="K12" i="1"/>
  <c r="K14" i="1" s="1"/>
  <c r="E23" i="1" s="1"/>
  <c r="M11" i="1" l="1"/>
  <c r="M12" i="1" s="1"/>
  <c r="M14" i="1" s="1"/>
  <c r="E26" i="1" s="1"/>
</calcChain>
</file>

<file path=xl/sharedStrings.xml><?xml version="1.0" encoding="utf-8"?>
<sst xmlns="http://schemas.openxmlformats.org/spreadsheetml/2006/main" count="34" uniqueCount="30">
  <si>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</si>
  <si>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</si>
  <si>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</si>
  <si>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</si>
  <si>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</si>
  <si>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</si>
  <si>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</si>
  <si>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</si>
  <si>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</si>
  <si>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</si>
  <si>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</si>
  <si>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</si>
  <si>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</si>
  <si>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</si>
  <si>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</si>
  <si>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</si>
  <si>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</si>
  <si>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</si>
  <si>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</si>
  <si>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</si>
  <si>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BAY CRANE SERVICE</t>
  </si>
  <si>
    <t xml:space="preserve">LSG MATTER #: 787200.12584-00 </t>
  </si>
  <si>
    <t>CLAIM #: F2X2280</t>
  </si>
  <si>
    <t>DATE OF LOSS: 4/15/2025</t>
  </si>
  <si>
    <t>CAUSE OF LOSS: TRANSIT</t>
  </si>
  <si>
    <t>TEXAS AIR SYSTEMS (214-483-1717) INVOICE WITH SHIP DATE 02/26/2024 AND A TOTAL OF $108,200.00</t>
  </si>
  <si>
    <t>QTY (1) MCDU-40</t>
  </si>
  <si>
    <t>NEW / UNUSED</t>
  </si>
  <si>
    <t>MOTIVAIR BRAND COOLING DISTRIBUTION UNIT (CDU) ONE (1) MDCU-40. SN: MCDU-40-2024-0675333 (MOTIVAIR PROVIDED US WITH THE MSRP = $94,380.05)</t>
  </si>
  <si>
    <t>COLOR DENOTES PRICING DISCREPANCY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</si>
</sst>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83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2" borderId="17" xfId="0" applyFont="1" applyFill="1" applyBorder="1" applyAlignment="1">
      <alignment horizontal="center"/>
    </xf>
    <xf numFmtId="44" fontId="7" fillId="2" borderId="17" xfId="1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/>
    </xf>
    <xf numFmtId="9" fontId="7" fillId="2" borderId="17" xfId="6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44" fontId="6" fillId="5" borderId="13" xfId="1" applyFont="1" applyFill="1" applyBorder="1" applyAlignment="1">
      <alignment horizontal="center" vertical="center"/>
    </xf>
    <xf numFmtId="44" fontId="7" fillId="5" borderId="15" xfId="1" applyFont="1" applyFill="1" applyBorder="1" applyAlignment="1"/>
    <xf numFmtId="44" fontId="6" fillId="5" borderId="15" xfId="1" applyFont="1" applyFill="1" applyBorder="1" applyAlignment="1"/>
    <xf numFmtId="44" fontId="6" fillId="5" borderId="13" xfId="1" applyFont="1" applyFill="1" applyBorder="1" applyAlignment="1"/>
    <xf numFmtId="0" fontId="6" fillId="0" borderId="0" xfId="0" applyFont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"/>
  <sheetViews>
    <sheetView tabSelected="1" zoomScale="80" zoomScaleNormal="80" zoomScalePageLayoutView="90" workbookViewId="0">
      <selection activeCell="O5" sqref="O5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9" width="9.6640625" style="4" customWidth="1"/>
    <col min="10" max="10" width="10.5" style="4" customWidth="1"/>
    <col min="11" max="13" width="17.6640625" style="4" hidden="1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4" t="s">
        <v>20</v>
      </c>
      <c r="B1" s="65"/>
      <c r="C1" s="65"/>
      <c r="D1" s="65"/>
      <c r="E1" s="66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7" t="s">
        <v>21</v>
      </c>
      <c r="B2" s="68"/>
      <c r="C2" s="68"/>
      <c r="D2" s="68"/>
      <c r="E2" s="69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thickBot="1" x14ac:dyDescent="0.25">
      <c r="A3" s="67" t="s">
        <v>22</v>
      </c>
      <c r="B3" s="68"/>
      <c r="C3" s="68"/>
      <c r="D3" s="68"/>
      <c r="E3" s="69"/>
      <c r="F3" s="1"/>
      <c r="G3" s="78"/>
      <c r="H3" s="78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67" t="s">
        <v>23</v>
      </c>
      <c r="B4" s="68"/>
      <c r="C4" s="68"/>
      <c r="D4" s="68"/>
      <c r="E4" s="69"/>
      <c r="F4" s="6"/>
      <c r="G4" s="79" t="s">
        <v>29</v>
      </c>
      <c r="H4" s="80"/>
      <c r="I4"/>
      <c r="J4" s="7"/>
      <c r="K4" s="7"/>
      <c r="L4" s="1"/>
      <c r="O4" s="3"/>
    </row>
    <row r="5" spans="1:18" ht="15.75" customHeight="1" thickBot="1" x14ac:dyDescent="0.25">
      <c r="A5" s="70" t="s">
        <v>24</v>
      </c>
      <c r="B5" s="71"/>
      <c r="C5" s="71"/>
      <c r="D5" s="71"/>
      <c r="E5" s="72"/>
      <c r="F5" s="1"/>
      <c r="G5" s="81"/>
      <c r="H5" s="82"/>
      <c r="I5"/>
      <c r="J5" s="1"/>
      <c r="K5" s="1"/>
      <c r="L5" s="1"/>
      <c r="O5" s="3"/>
    </row>
    <row r="8" spans="1:18" s="9" customFormat="1" ht="25.5" customHeight="1" x14ac:dyDescent="0.15">
      <c r="A8" s="44" t="s">
        <v>25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6"/>
    </row>
    <row r="9" spans="1:18" ht="24" customHeight="1" x14ac:dyDescent="0.2">
      <c r="A9" s="42" t="s">
        <v>0</v>
      </c>
      <c r="B9" s="47" t="s">
        <v>1</v>
      </c>
      <c r="C9" s="39" t="s">
        <v>2</v>
      </c>
      <c r="D9" s="40"/>
      <c r="E9" s="41"/>
      <c r="F9" s="39" t="s">
        <v>3</v>
      </c>
      <c r="G9" s="40"/>
      <c r="H9" s="41"/>
      <c r="I9" s="54" t="s">
        <v>4</v>
      </c>
      <c r="J9" s="54" t="s">
        <v>5</v>
      </c>
      <c r="K9" s="54" t="s">
        <v>6</v>
      </c>
      <c r="L9" s="54" t="s">
        <v>7</v>
      </c>
      <c r="M9" s="54" t="s">
        <v>8</v>
      </c>
      <c r="N9" s="54" t="s">
        <v>9</v>
      </c>
      <c r="O9" s="42" t="s">
        <v>10</v>
      </c>
    </row>
    <row r="10" spans="1:18" s="4" customFormat="1" ht="24" customHeight="1" thickBot="1" x14ac:dyDescent="0.25">
      <c r="A10" s="43"/>
      <c r="B10" s="48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55"/>
      <c r="J10" s="55"/>
      <c r="K10" s="55"/>
      <c r="L10" s="55"/>
      <c r="M10" s="55"/>
      <c r="N10" s="55"/>
      <c r="O10" s="43"/>
    </row>
    <row r="11" spans="1:18" s="4" customFormat="1" ht="78" customHeight="1" thickBot="1" x14ac:dyDescent="0.25">
      <c r="A11" s="23">
        <v>1</v>
      </c>
      <c r="B11" s="24" t="s">
        <v>26</v>
      </c>
      <c r="C11" s="25">
        <v>1</v>
      </c>
      <c r="D11" s="26">
        <v>108200</v>
      </c>
      <c r="E11" s="26">
        <f>C11*D11</f>
        <v>108200</v>
      </c>
      <c r="F11" s="25">
        <v>1</v>
      </c>
      <c r="G11" s="26">
        <v>94380.05</v>
      </c>
      <c r="H11" s="26">
        <f>F11*G11</f>
        <v>94380.05</v>
      </c>
      <c r="I11" s="27">
        <v>0</v>
      </c>
      <c r="J11" s="27">
        <v>20</v>
      </c>
      <c r="K11" s="26">
        <f>H11*(1-L11)</f>
        <v>94380.05</v>
      </c>
      <c r="L11" s="28">
        <f>IF((I11/J11)&gt;=0.75,0.75,IF((I11/J11)&gt;=0,(I11/J11),IF((I11/J11)&lt;=1,0)))</f>
        <v>0</v>
      </c>
      <c r="M11" s="26">
        <f>H11-K11</f>
        <v>0</v>
      </c>
      <c r="N11" s="29" t="s">
        <v>27</v>
      </c>
      <c r="O11" s="30" t="s">
        <v>28</v>
      </c>
      <c r="R11" s="22"/>
    </row>
    <row r="12" spans="1:18" s="4" customFormat="1" ht="18" customHeight="1" thickBot="1" x14ac:dyDescent="0.25">
      <c r="A12" s="49" t="s">
        <v>14</v>
      </c>
      <c r="B12" s="50"/>
      <c r="C12" s="50"/>
      <c r="D12" s="51"/>
      <c r="E12" s="74">
        <f>SUM(E11:E11)</f>
        <v>108200</v>
      </c>
      <c r="F12" s="13"/>
      <c r="G12" s="14"/>
      <c r="H12" s="77">
        <f>SUM(H11:H11)</f>
        <v>94380.05</v>
      </c>
      <c r="I12" s="52"/>
      <c r="J12" s="53"/>
      <c r="K12" s="15">
        <f>SUM(K11:K11)</f>
        <v>94380.05</v>
      </c>
      <c r="L12" s="15"/>
      <c r="M12" s="15">
        <f>SUM(M11:M11)</f>
        <v>0</v>
      </c>
      <c r="N12"/>
    </row>
    <row r="13" spans="1:18" s="4" customFormat="1" ht="18" customHeight="1" x14ac:dyDescent="0.2">
      <c r="A13" s="31" t="s">
        <v>15</v>
      </c>
      <c r="B13" s="32"/>
      <c r="C13" s="32"/>
      <c r="D13" s="33"/>
      <c r="E13" s="75">
        <v>0</v>
      </c>
      <c r="F13" s="16"/>
      <c r="G13" s="17"/>
      <c r="H13" s="75">
        <v>0</v>
      </c>
      <c r="I13" s="34"/>
      <c r="J13" s="35"/>
      <c r="K13" s="18">
        <v>0</v>
      </c>
      <c r="L13" s="18"/>
      <c r="M13" s="18">
        <v>0</v>
      </c>
      <c r="N13"/>
    </row>
    <row r="14" spans="1:18" s="4" customFormat="1" ht="18" customHeight="1" thickBot="1" x14ac:dyDescent="0.25">
      <c r="A14" s="31" t="s">
        <v>13</v>
      </c>
      <c r="B14" s="32"/>
      <c r="C14" s="32"/>
      <c r="D14" s="33"/>
      <c r="E14" s="76">
        <f>SUM(E12:E13)</f>
        <v>108200</v>
      </c>
      <c r="F14" s="19"/>
      <c r="G14" s="20"/>
      <c r="H14" s="76">
        <f>SUM(H12,H13)</f>
        <v>94380.05</v>
      </c>
      <c r="I14" s="36"/>
      <c r="J14" s="37"/>
      <c r="K14" s="21">
        <f>SUM(K12:K13)</f>
        <v>94380.05</v>
      </c>
      <c r="L14" s="21"/>
      <c r="M14" s="21">
        <f>SUM(M12:M13)</f>
        <v>0</v>
      </c>
      <c r="N14"/>
    </row>
    <row r="15" spans="1:18" ht="12.75" customHeight="1" x14ac:dyDescent="0.2">
      <c r="A15" s="38"/>
      <c r="B15" s="3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7" spans="2:12" x14ac:dyDescent="0.2">
      <c r="B17" s="56" t="s">
        <v>16</v>
      </c>
      <c r="C17" s="57"/>
      <c r="D17" s="58"/>
      <c r="E17" s="62">
        <f>E14</f>
        <v>108200</v>
      </c>
    </row>
    <row r="18" spans="2:12" x14ac:dyDescent="0.2">
      <c r="B18" s="59"/>
      <c r="C18" s="60"/>
      <c r="D18" s="61"/>
      <c r="E18" s="63"/>
    </row>
    <row r="20" spans="2:12" x14ac:dyDescent="0.2">
      <c r="B20" s="56" t="s">
        <v>17</v>
      </c>
      <c r="C20" s="57"/>
      <c r="D20" s="58"/>
      <c r="E20" s="62">
        <f>H14</f>
        <v>94380.05</v>
      </c>
    </row>
    <row r="21" spans="2:12" x14ac:dyDescent="0.2">
      <c r="B21" s="59"/>
      <c r="C21" s="60"/>
      <c r="D21" s="61"/>
      <c r="E21" s="63"/>
    </row>
    <row r="23" spans="2:12" hidden="1" x14ac:dyDescent="0.2">
      <c r="B23" s="56" t="s">
        <v>18</v>
      </c>
      <c r="C23" s="57"/>
      <c r="D23" s="58"/>
      <c r="E23" s="62">
        <f>K14</f>
        <v>94380.05</v>
      </c>
    </row>
    <row r="24" spans="2:12" hidden="1" x14ac:dyDescent="0.2">
      <c r="B24" s="59"/>
      <c r="C24" s="60"/>
      <c r="D24" s="61"/>
      <c r="E24" s="63"/>
      <c r="I24" s="7"/>
      <c r="J24" s="7"/>
      <c r="K24" s="7"/>
      <c r="L24" s="7"/>
    </row>
    <row r="25" spans="2:12" hidden="1" x14ac:dyDescent="0.2">
      <c r="I25" s="7"/>
      <c r="J25" s="7"/>
      <c r="K25" s="7"/>
      <c r="L25" s="7"/>
    </row>
    <row r="26" spans="2:12" hidden="1" x14ac:dyDescent="0.2">
      <c r="B26" s="56" t="s">
        <v>19</v>
      </c>
      <c r="C26" s="57"/>
      <c r="D26" s="58"/>
      <c r="E26" s="62">
        <f>M14</f>
        <v>0</v>
      </c>
    </row>
    <row r="27" spans="2:12" hidden="1" x14ac:dyDescent="0.2">
      <c r="B27" s="59"/>
      <c r="C27" s="60"/>
      <c r="D27" s="61"/>
      <c r="E27" s="73"/>
    </row>
    <row r="28" spans="2:12" hidden="1" x14ac:dyDescent="0.2"/>
  </sheetData>
  <mergeCells count="33">
    <mergeCell ref="B26:D27"/>
    <mergeCell ref="E26:E27"/>
    <mergeCell ref="B17:D18"/>
    <mergeCell ref="B20:D21"/>
    <mergeCell ref="G4:H5"/>
    <mergeCell ref="B23:D24"/>
    <mergeCell ref="E23:E24"/>
    <mergeCell ref="A1:E1"/>
    <mergeCell ref="A2:E2"/>
    <mergeCell ref="A3:E3"/>
    <mergeCell ref="A4:E4"/>
    <mergeCell ref="A5:E5"/>
    <mergeCell ref="E17:E18"/>
    <mergeCell ref="E20:E21"/>
    <mergeCell ref="A12:D12"/>
    <mergeCell ref="I12:J12"/>
    <mergeCell ref="L9:L10"/>
    <mergeCell ref="O9:O10"/>
    <mergeCell ref="I9:I10"/>
    <mergeCell ref="J9:J10"/>
    <mergeCell ref="K9:K10"/>
    <mergeCell ref="M9:M10"/>
    <mergeCell ref="N9:N10"/>
    <mergeCell ref="F9:H9"/>
    <mergeCell ref="A9:A10"/>
    <mergeCell ref="A8:O8"/>
    <mergeCell ref="C9:E9"/>
    <mergeCell ref="B9:B10"/>
    <mergeCell ref="A13:D13"/>
    <mergeCell ref="I13:J13"/>
    <mergeCell ref="A14:D14"/>
    <mergeCell ref="I14:J14"/>
    <mergeCell ref="A15:B15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2025-11-07T17:45:55Z</dcterms:modified>
  <cp:category/>
  <cp:contentStatus/>
</cp:coreProperties>
</file>