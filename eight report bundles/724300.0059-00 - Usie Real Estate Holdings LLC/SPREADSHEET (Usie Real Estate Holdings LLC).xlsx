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Usie Real Estate Holdings LLC/"/>
    </mc:Choice>
  </mc:AlternateContent>
  <xr:revisionPtr revIDLastSave="0" documentId="13_ncr:1_{B37B6B93-DF7A-8144-9A3E-9658251278D5}" xr6:coauthVersionLast="47" xr6:coauthVersionMax="47" xr10:uidLastSave="{00000000-0000-0000-0000-000000000000}"/>
  <bookViews>
    <workbookView xWindow="4200" yWindow="266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" i="1" l="1"/>
  <c r="H17" i="1"/>
  <c r="E17" i="1"/>
  <c r="H11" i="1"/>
  <c r="L12" i="1"/>
  <c r="L13" i="1"/>
  <c r="L14" i="1"/>
  <c r="E15" i="1"/>
  <c r="H15" i="1"/>
  <c r="E16" i="1"/>
  <c r="H16" i="1"/>
  <c r="E13" i="1"/>
  <c r="H13" i="1"/>
  <c r="E14" i="1"/>
  <c r="H14" i="1"/>
  <c r="E11" i="1"/>
  <c r="K14" i="1" l="1"/>
  <c r="K15" i="1"/>
  <c r="M15" i="1" s="1"/>
  <c r="K16" i="1"/>
  <c r="M16" i="1" s="1"/>
  <c r="K17" i="1"/>
  <c r="M17" i="1" s="1"/>
  <c r="K13" i="1"/>
  <c r="M13" i="1" s="1"/>
  <c r="K11" i="1"/>
  <c r="M14" i="1"/>
  <c r="E12" i="1" l="1"/>
  <c r="H12" i="1"/>
  <c r="K12" i="1" s="1"/>
  <c r="E18" i="1" l="1"/>
  <c r="E20" i="1" s="1"/>
  <c r="E23" i="1" s="1"/>
  <c r="M12" i="1"/>
  <c r="H18" i="1" l="1"/>
  <c r="H20" i="1" s="1"/>
  <c r="E26" i="1" s="1"/>
  <c r="K18" i="1"/>
  <c r="K20" i="1" s="1"/>
  <c r="E29" i="1" s="1"/>
  <c r="M11" i="1" l="1"/>
  <c r="M18" i="1" s="1"/>
  <c r="M20" i="1" s="1"/>
  <c r="E32" i="1" s="1"/>
</calcChain>
</file>

<file path=xl/sharedStrings.xml><?xml version="1.0" encoding="utf-8"?>
<sst xmlns="http://schemas.openxmlformats.org/spreadsheetml/2006/main" count="59" uniqueCount="40">
  <si>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</si>
  <si>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</si>
  <si>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</si>
  <si>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</si>
  <si>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</si>
  <si>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</si>
  <si>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</si>
  <si>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</si>
  <si>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</si>
  <si>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</si>
  <si>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</si>
  <si>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</si>
  <si>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</si>
  <si>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</si>
  <si>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</si>
  <si>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</si>
  <si>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</si>
  <si>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</si>
  <si>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</si>
  <si>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</si>
  <si>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USIE REAL ESTATE HOLDINGS LLC</t>
  </si>
  <si>
    <t xml:space="preserve">LSG MATTER #: 724300.0059-00 </t>
  </si>
  <si>
    <t>CLAIM #: HO-2026-598302623</t>
  </si>
  <si>
    <t>DATE OF LOSS: 11/6/2025</t>
  </si>
  <si>
    <t>CAUSE OF LOSS: TBD</t>
  </si>
  <si>
    <t>AIR SOURCE ONE COOLING AND HEATING INC. (337-984-6541) INVOICE # 4013227</t>
  </si>
  <si>
    <t xml:space="preserve">REPLACE 5 TON CARRIER COMPRESSOR. </t>
  </si>
  <si>
    <t xml:space="preserve">REPLACE 5 TON CARRIER COMPRESSOR ALONG WITH SOME OTHER ITEMS. THIS COST WAS PROVIDED TO US IN A LUMP SUM COST. WITH HELP FROM THE VENDOR WE WERE ABLE TO BREAK THIS COST DOWN AS FOLLOWS. </t>
  </si>
  <si>
    <t>COM 14908 COMPRESSOR</t>
  </si>
  <si>
    <t>AVERAGE</t>
  </si>
  <si>
    <t>N/A</t>
  </si>
  <si>
    <t>DISPOSAL OF OLD COMPRESSOR</t>
  </si>
  <si>
    <t>REFRIGERANT 410A</t>
  </si>
  <si>
    <t xml:space="preserve">LIQUID FILTER DRYER. </t>
  </si>
  <si>
    <t>LABOR HOURS</t>
  </si>
  <si>
    <t>BRAZING EQUIPMENT AND SUPPLIES</t>
  </si>
  <si>
    <t>ROUGHLY EIGHT POUNDS OF REFRIGERANT TO RECHARGE THE UNIT.</t>
  </si>
  <si>
    <t>NEW LIQUID LINE REFRIGERANT FILTER</t>
  </si>
  <si>
    <t xml:space="preserve">TRANE INGERSOLL RAND BRAND 4.5 TON 3 PHASE R410A COMPRESSOR. WITH A VENDOR MARK UP ON MATERIALS. </t>
  </si>
  <si>
    <t xml:space="preserve">LABOR HOURS FOR ONE TECHNICIAN FOR ONE DAY OF WORK.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</si>
</sst>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4"/>
  <sheetViews>
    <sheetView tabSelected="1" topLeftCell="A16" zoomScale="80" zoomScaleNormal="80" zoomScalePageLayoutView="90" workbookViewId="0">
      <selection activeCell="G48" sqref="G48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hidden="1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0" t="s">
        <v>20</v>
      </c>
      <c r="B1" s="61"/>
      <c r="C1" s="61"/>
      <c r="D1" s="61"/>
      <c r="E1" s="62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3" t="s">
        <v>21</v>
      </c>
      <c r="B2" s="64"/>
      <c r="C2" s="64"/>
      <c r="D2" s="64"/>
      <c r="E2" s="65"/>
      <c r="F2" s="1"/>
      <c r="G2"/>
      <c r="H2"/>
      <c r="I2"/>
      <c r="J2"/>
      <c r="K2" s="1"/>
      <c r="M2" s="1"/>
      <c r="N2" s="1"/>
      <c r="O2" s="2"/>
      <c r="P2" s="2"/>
    </row>
    <row r="3" spans="1:18" ht="15.75" customHeight="1" x14ac:dyDescent="0.2">
      <c r="A3" s="63" t="s">
        <v>22</v>
      </c>
      <c r="B3" s="64"/>
      <c r="C3" s="64"/>
      <c r="D3" s="64"/>
      <c r="E3" s="65"/>
      <c r="F3" s="1"/>
      <c r="G3"/>
      <c r="H3"/>
      <c r="I3"/>
      <c r="J3"/>
      <c r="K3" s="1"/>
      <c r="L3"/>
      <c r="M3" s="1"/>
      <c r="N3" s="1"/>
      <c r="O3" s="5"/>
      <c r="P3" s="5"/>
    </row>
    <row r="4" spans="1:18" ht="15.75" customHeight="1" x14ac:dyDescent="0.2">
      <c r="A4" s="63" t="s">
        <v>23</v>
      </c>
      <c r="B4" s="64"/>
      <c r="C4" s="64"/>
      <c r="D4" s="64"/>
      <c r="E4" s="65"/>
      <c r="F4" s="6"/>
      <c r="G4"/>
      <c r="H4"/>
      <c r="I4"/>
      <c r="J4"/>
      <c r="K4" s="7"/>
      <c r="L4" s="1"/>
      <c r="O4" s="3"/>
    </row>
    <row r="5" spans="1:18" ht="15.75" customHeight="1" thickBot="1" x14ac:dyDescent="0.25">
      <c r="A5" s="66" t="s">
        <v>24</v>
      </c>
      <c r="B5" s="67"/>
      <c r="C5" s="67"/>
      <c r="D5" s="67"/>
      <c r="E5" s="68"/>
      <c r="F5" s="1"/>
      <c r="G5"/>
      <c r="H5"/>
      <c r="I5"/>
      <c r="J5"/>
      <c r="K5" s="1"/>
      <c r="L5" s="1"/>
      <c r="O5" s="3"/>
    </row>
    <row r="6" spans="1:18" x14ac:dyDescent="0.2">
      <c r="G6"/>
      <c r="H6"/>
      <c r="I6"/>
      <c r="J6"/>
    </row>
    <row r="7" spans="1:18" ht="17" thickBot="1" x14ac:dyDescent="0.25"/>
    <row r="8" spans="1:18" s="9" customFormat="1" ht="25.5" customHeight="1" x14ac:dyDescent="0.15">
      <c r="A8" s="45" t="s">
        <v>25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7"/>
    </row>
    <row r="9" spans="1:18" ht="24" customHeight="1" x14ac:dyDescent="0.2">
      <c r="A9" s="43" t="s">
        <v>0</v>
      </c>
      <c r="B9" s="48" t="s">
        <v>1</v>
      </c>
      <c r="C9" s="40" t="s">
        <v>2</v>
      </c>
      <c r="D9" s="41"/>
      <c r="E9" s="42"/>
      <c r="F9" s="40" t="s">
        <v>3</v>
      </c>
      <c r="G9" s="41"/>
      <c r="H9" s="42"/>
      <c r="I9" s="50" t="s">
        <v>4</v>
      </c>
      <c r="J9" s="50" t="s">
        <v>5</v>
      </c>
      <c r="K9" s="50" t="s">
        <v>6</v>
      </c>
      <c r="L9" s="50" t="s">
        <v>7</v>
      </c>
      <c r="M9" s="50" t="s">
        <v>8</v>
      </c>
      <c r="N9" s="50" t="s">
        <v>9</v>
      </c>
      <c r="O9" s="43" t="s">
        <v>10</v>
      </c>
    </row>
    <row r="10" spans="1:18" s="4" customFormat="1" ht="24" customHeight="1" thickBot="1" x14ac:dyDescent="0.25">
      <c r="A10" s="44"/>
      <c r="B10" s="49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51"/>
      <c r="J10" s="51"/>
      <c r="K10" s="51"/>
      <c r="L10" s="51"/>
      <c r="M10" s="51"/>
      <c r="N10" s="51"/>
      <c r="O10" s="44"/>
    </row>
    <row r="11" spans="1:18" s="4" customFormat="1" ht="102" x14ac:dyDescent="0.2">
      <c r="A11" s="80">
        <v>1</v>
      </c>
      <c r="B11" s="81" t="s">
        <v>26</v>
      </c>
      <c r="C11" s="82">
        <v>1</v>
      </c>
      <c r="D11" s="83">
        <v>4985</v>
      </c>
      <c r="E11" s="83">
        <f>C11*D11</f>
        <v>4985</v>
      </c>
      <c r="F11" s="82">
        <v>0</v>
      </c>
      <c r="G11" s="83">
        <v>0</v>
      </c>
      <c r="H11" s="83">
        <f>F11*G11</f>
        <v>0</v>
      </c>
      <c r="I11" s="84" t="s">
        <v>30</v>
      </c>
      <c r="J11" s="84" t="s">
        <v>30</v>
      </c>
      <c r="K11" s="83">
        <f>H11*(1-L11)</f>
        <v>0</v>
      </c>
      <c r="L11" s="85">
        <v>0</v>
      </c>
      <c r="M11" s="83">
        <f>H11-K11</f>
        <v>0</v>
      </c>
      <c r="N11" s="86" t="s">
        <v>30</v>
      </c>
      <c r="O11" s="87" t="s">
        <v>27</v>
      </c>
      <c r="R11" s="26"/>
    </row>
    <row r="12" spans="1:18" s="4" customFormat="1" ht="65" customHeight="1" x14ac:dyDescent="0.2">
      <c r="A12" s="88">
        <v>2</v>
      </c>
      <c r="B12" s="76" t="s">
        <v>28</v>
      </c>
      <c r="C12" s="70">
        <v>0</v>
      </c>
      <c r="D12" s="77">
        <v>0</v>
      </c>
      <c r="E12" s="77">
        <f t="shared" ref="E12:E14" si="0">C12*D12</f>
        <v>0</v>
      </c>
      <c r="F12" s="70">
        <v>1</v>
      </c>
      <c r="G12" s="77">
        <v>2800</v>
      </c>
      <c r="H12" s="77">
        <f t="shared" ref="H12" si="1">F12*G12</f>
        <v>2800</v>
      </c>
      <c r="I12" s="78">
        <f>2026-2017</f>
        <v>9</v>
      </c>
      <c r="J12" s="78">
        <v>20</v>
      </c>
      <c r="K12" s="72">
        <f t="shared" ref="K12:K14" si="2">H12*(1-L12)</f>
        <v>1540.0000000000002</v>
      </c>
      <c r="L12" s="74">
        <f t="shared" ref="L12:L14" si="3">IF((I12/J12)&gt;=0.75,0.75,IF((I12/J12)&gt;=0.1,(I12/J12),IF((I12/J12)&lt;=0.1,0.1)))</f>
        <v>0.45</v>
      </c>
      <c r="M12" s="72">
        <f t="shared" ref="M12:M14" si="4">H12-K12</f>
        <v>1259.9999999999998</v>
      </c>
      <c r="N12" s="79" t="s">
        <v>29</v>
      </c>
      <c r="O12" s="89" t="s">
        <v>38</v>
      </c>
    </row>
    <row r="13" spans="1:18" s="4" customFormat="1" ht="65" customHeight="1" x14ac:dyDescent="0.2">
      <c r="A13" s="90">
        <v>3</v>
      </c>
      <c r="B13" s="71" t="s">
        <v>32</v>
      </c>
      <c r="C13" s="70">
        <v>0</v>
      </c>
      <c r="D13" s="72">
        <v>0</v>
      </c>
      <c r="E13" s="72">
        <f t="shared" si="0"/>
        <v>0</v>
      </c>
      <c r="F13" s="70">
        <v>8</v>
      </c>
      <c r="G13" s="72">
        <v>130</v>
      </c>
      <c r="H13" s="72">
        <f>F13*G13</f>
        <v>1040</v>
      </c>
      <c r="I13" s="78">
        <v>9</v>
      </c>
      <c r="J13" s="78">
        <v>20</v>
      </c>
      <c r="K13" s="72">
        <f t="shared" si="2"/>
        <v>572</v>
      </c>
      <c r="L13" s="74">
        <f t="shared" si="3"/>
        <v>0.45</v>
      </c>
      <c r="M13" s="72">
        <f t="shared" si="4"/>
        <v>468</v>
      </c>
      <c r="N13" s="75" t="s">
        <v>29</v>
      </c>
      <c r="O13" s="91" t="s">
        <v>36</v>
      </c>
    </row>
    <row r="14" spans="1:18" s="4" customFormat="1" ht="65" customHeight="1" x14ac:dyDescent="0.2">
      <c r="A14" s="88">
        <v>4</v>
      </c>
      <c r="B14" s="76" t="s">
        <v>33</v>
      </c>
      <c r="C14" s="70">
        <v>0</v>
      </c>
      <c r="D14" s="77">
        <v>0</v>
      </c>
      <c r="E14" s="77">
        <f t="shared" si="0"/>
        <v>0</v>
      </c>
      <c r="F14" s="70">
        <v>1</v>
      </c>
      <c r="G14" s="77">
        <v>85</v>
      </c>
      <c r="H14" s="77">
        <f t="shared" ref="H14" si="5">F14*G14</f>
        <v>85</v>
      </c>
      <c r="I14" s="78">
        <v>9</v>
      </c>
      <c r="J14" s="78">
        <v>20</v>
      </c>
      <c r="K14" s="72">
        <f t="shared" si="2"/>
        <v>46.750000000000007</v>
      </c>
      <c r="L14" s="74">
        <f t="shared" si="3"/>
        <v>0.45</v>
      </c>
      <c r="M14" s="72">
        <f t="shared" si="4"/>
        <v>38.249999999999993</v>
      </c>
      <c r="N14" s="79" t="s">
        <v>29</v>
      </c>
      <c r="O14" s="89" t="s">
        <v>37</v>
      </c>
    </row>
    <row r="15" spans="1:18" s="4" customFormat="1" ht="65" customHeight="1" x14ac:dyDescent="0.2">
      <c r="A15" s="90">
        <v>5</v>
      </c>
      <c r="B15" s="71" t="s">
        <v>35</v>
      </c>
      <c r="C15" s="70">
        <v>0</v>
      </c>
      <c r="D15" s="72">
        <v>0</v>
      </c>
      <c r="E15" s="72">
        <f>C15*D15</f>
        <v>0</v>
      </c>
      <c r="F15" s="70">
        <v>1</v>
      </c>
      <c r="G15" s="72">
        <v>60</v>
      </c>
      <c r="H15" s="72">
        <f>F15*G15</f>
        <v>60</v>
      </c>
      <c r="I15" s="73" t="s">
        <v>30</v>
      </c>
      <c r="J15" s="73" t="s">
        <v>30</v>
      </c>
      <c r="K15" s="72">
        <f>H15*(1-L15)</f>
        <v>60</v>
      </c>
      <c r="L15" s="74">
        <v>0</v>
      </c>
      <c r="M15" s="72">
        <f>H15-K15</f>
        <v>0</v>
      </c>
      <c r="N15" s="75" t="s">
        <v>30</v>
      </c>
      <c r="O15" s="91" t="s">
        <v>35</v>
      </c>
    </row>
    <row r="16" spans="1:18" s="4" customFormat="1" ht="65" customHeight="1" x14ac:dyDescent="0.2">
      <c r="A16" s="88">
        <v>6</v>
      </c>
      <c r="B16" s="76" t="s">
        <v>31</v>
      </c>
      <c r="C16" s="70">
        <v>0</v>
      </c>
      <c r="D16" s="77">
        <v>0</v>
      </c>
      <c r="E16" s="77">
        <f>C16*D16</f>
        <v>0</v>
      </c>
      <c r="F16" s="70">
        <v>1</v>
      </c>
      <c r="G16" s="77">
        <v>40</v>
      </c>
      <c r="H16" s="77">
        <f t="shared" ref="H16" si="6">F16*G16</f>
        <v>40</v>
      </c>
      <c r="I16" s="78" t="s">
        <v>30</v>
      </c>
      <c r="J16" s="78" t="s">
        <v>30</v>
      </c>
      <c r="K16" s="72">
        <f>H16*(1-L16)</f>
        <v>40</v>
      </c>
      <c r="L16" s="74">
        <v>0</v>
      </c>
      <c r="M16" s="72">
        <f>H16-K16</f>
        <v>0</v>
      </c>
      <c r="N16" s="79" t="s">
        <v>30</v>
      </c>
      <c r="O16" s="89" t="s">
        <v>31</v>
      </c>
    </row>
    <row r="17" spans="1:15" s="4" customFormat="1" ht="65" customHeight="1" thickBot="1" x14ac:dyDescent="0.25">
      <c r="A17" s="92">
        <v>7</v>
      </c>
      <c r="B17" s="93" t="s">
        <v>34</v>
      </c>
      <c r="C17" s="94">
        <v>0</v>
      </c>
      <c r="D17" s="95">
        <v>0</v>
      </c>
      <c r="E17" s="95">
        <f t="shared" ref="E17" si="7">C17*D17</f>
        <v>0</v>
      </c>
      <c r="F17" s="94">
        <v>8</v>
      </c>
      <c r="G17" s="95">
        <v>120</v>
      </c>
      <c r="H17" s="95">
        <f>F17*G17</f>
        <v>960</v>
      </c>
      <c r="I17" s="96" t="s">
        <v>30</v>
      </c>
      <c r="J17" s="96" t="s">
        <v>30</v>
      </c>
      <c r="K17" s="95">
        <f t="shared" ref="K17" si="8">H17*(1-L17)</f>
        <v>960</v>
      </c>
      <c r="L17" s="97">
        <v>0</v>
      </c>
      <c r="M17" s="95">
        <f t="shared" ref="M17" si="9">H17-K17</f>
        <v>0</v>
      </c>
      <c r="N17" s="98" t="s">
        <v>30</v>
      </c>
      <c r="O17" s="99" t="s">
        <v>39</v>
      </c>
    </row>
    <row r="18" spans="1:15" s="4" customFormat="1" ht="18" customHeight="1" thickBot="1" x14ac:dyDescent="0.25">
      <c r="A18" s="34" t="s">
        <v>14</v>
      </c>
      <c r="B18" s="35"/>
      <c r="C18" s="35"/>
      <c r="D18" s="36"/>
      <c r="E18" s="13">
        <f>SUM(E11:E17)</f>
        <v>4985</v>
      </c>
      <c r="F18" s="14"/>
      <c r="G18" s="15"/>
      <c r="H18" s="16">
        <f>SUM(H11:H17)</f>
        <v>4985</v>
      </c>
      <c r="I18" s="37"/>
      <c r="J18" s="38"/>
      <c r="K18" s="17">
        <f>SUM(K11:K17)</f>
        <v>3218.75</v>
      </c>
      <c r="L18" s="17"/>
      <c r="M18" s="17">
        <f>SUM(M11:M17)</f>
        <v>1766.2499999999998</v>
      </c>
      <c r="N18"/>
    </row>
    <row r="19" spans="1:15" s="4" customFormat="1" ht="18" customHeight="1" x14ac:dyDescent="0.2">
      <c r="A19" s="29" t="s">
        <v>15</v>
      </c>
      <c r="B19" s="30"/>
      <c r="C19" s="30"/>
      <c r="D19" s="31"/>
      <c r="E19" s="18">
        <v>0</v>
      </c>
      <c r="F19" s="19"/>
      <c r="G19" s="20"/>
      <c r="H19" s="18">
        <v>0</v>
      </c>
      <c r="I19" s="32"/>
      <c r="J19" s="33"/>
      <c r="K19" s="21">
        <v>0</v>
      </c>
      <c r="L19" s="21"/>
      <c r="M19" s="21">
        <v>0</v>
      </c>
      <c r="N19"/>
    </row>
    <row r="20" spans="1:15" s="4" customFormat="1" ht="18" customHeight="1" thickBot="1" x14ac:dyDescent="0.25">
      <c r="A20" s="29" t="s">
        <v>13</v>
      </c>
      <c r="B20" s="30"/>
      <c r="C20" s="30"/>
      <c r="D20" s="31"/>
      <c r="E20" s="22">
        <f>SUM(E18:E19)</f>
        <v>4985</v>
      </c>
      <c r="F20" s="23"/>
      <c r="G20" s="24"/>
      <c r="H20" s="22">
        <f>SUM(H18,H19)</f>
        <v>4985</v>
      </c>
      <c r="I20" s="27"/>
      <c r="J20" s="28"/>
      <c r="K20" s="25">
        <f>SUM(K18:K19)</f>
        <v>3218.75</v>
      </c>
      <c r="L20" s="25"/>
      <c r="M20" s="25">
        <f>SUM(M18:M19)</f>
        <v>1766.2499999999998</v>
      </c>
      <c r="N20"/>
    </row>
    <row r="21" spans="1:15" ht="12.75" customHeight="1" x14ac:dyDescent="0.2">
      <c r="A21" s="39"/>
      <c r="B21" s="3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3" spans="1:15" x14ac:dyDescent="0.2">
      <c r="B23" s="52" t="s">
        <v>16</v>
      </c>
      <c r="C23" s="53"/>
      <c r="D23" s="54"/>
      <c r="E23" s="58">
        <f>E20</f>
        <v>4985</v>
      </c>
    </row>
    <row r="24" spans="1:15" x14ac:dyDescent="0.2">
      <c r="B24" s="55"/>
      <c r="C24" s="56"/>
      <c r="D24" s="57"/>
      <c r="E24" s="59"/>
    </row>
    <row r="26" spans="1:15" x14ac:dyDescent="0.2">
      <c r="B26" s="52" t="s">
        <v>17</v>
      </c>
      <c r="C26" s="53"/>
      <c r="D26" s="54"/>
      <c r="E26" s="58">
        <f>H20</f>
        <v>4985</v>
      </c>
    </row>
    <row r="27" spans="1:15" ht="17" thickBot="1" x14ac:dyDescent="0.25">
      <c r="B27" s="55"/>
      <c r="C27" s="56"/>
      <c r="D27" s="57"/>
      <c r="E27" s="59"/>
    </row>
    <row r="28" spans="1:15" hidden="1" x14ac:dyDescent="0.2"/>
    <row r="29" spans="1:15" hidden="1" x14ac:dyDescent="0.2">
      <c r="B29" s="52" t="s">
        <v>18</v>
      </c>
      <c r="C29" s="53"/>
      <c r="D29" s="54"/>
      <c r="E29" s="58">
        <f>K20</f>
        <v>3218.75</v>
      </c>
    </row>
    <row r="30" spans="1:15" hidden="1" x14ac:dyDescent="0.2">
      <c r="B30" s="55"/>
      <c r="C30" s="56"/>
      <c r="D30" s="57"/>
      <c r="E30" s="59"/>
      <c r="I30" s="7"/>
      <c r="J30" s="7"/>
      <c r="K30" s="7"/>
      <c r="L30" s="7"/>
    </row>
    <row r="31" spans="1:15" hidden="1" x14ac:dyDescent="0.2">
      <c r="I31" s="7"/>
      <c r="J31" s="7"/>
      <c r="K31" s="7"/>
      <c r="L31" s="7"/>
    </row>
    <row r="32" spans="1:15" hidden="1" x14ac:dyDescent="0.2">
      <c r="B32" s="52" t="s">
        <v>19</v>
      </c>
      <c r="C32" s="53"/>
      <c r="D32" s="54"/>
      <c r="E32" s="58">
        <f>M20</f>
        <v>1766.2499999999998</v>
      </c>
    </row>
    <row r="33" spans="2:5" hidden="1" x14ac:dyDescent="0.2">
      <c r="B33" s="55"/>
      <c r="C33" s="56"/>
      <c r="D33" s="57"/>
      <c r="E33" s="69"/>
    </row>
    <row r="34" spans="2:5" hidden="1" x14ac:dyDescent="0.2"/>
  </sheetData>
  <mergeCells count="32">
    <mergeCell ref="B32:D33"/>
    <mergeCell ref="E32:E33"/>
    <mergeCell ref="B23:D24"/>
    <mergeCell ref="B26:D27"/>
    <mergeCell ref="B29:D30"/>
    <mergeCell ref="E29:E30"/>
    <mergeCell ref="A1:E1"/>
    <mergeCell ref="A2:E2"/>
    <mergeCell ref="A3:E3"/>
    <mergeCell ref="A4:E4"/>
    <mergeCell ref="A5:E5"/>
    <mergeCell ref="E23:E24"/>
    <mergeCell ref="E26:E27"/>
    <mergeCell ref="A21:B21"/>
    <mergeCell ref="F9:H9"/>
    <mergeCell ref="A9:A10"/>
    <mergeCell ref="A8:O8"/>
    <mergeCell ref="C9:E9"/>
    <mergeCell ref="B9:B10"/>
    <mergeCell ref="A18:D18"/>
    <mergeCell ref="I18:J18"/>
    <mergeCell ref="L9:L10"/>
    <mergeCell ref="O9:O10"/>
    <mergeCell ref="I9:I10"/>
    <mergeCell ref="J9:J10"/>
    <mergeCell ref="K9:K10"/>
    <mergeCell ref="M9:M10"/>
    <mergeCell ref="N9:N10"/>
    <mergeCell ref="A19:D19"/>
    <mergeCell ref="I19:J19"/>
    <mergeCell ref="A20:D20"/>
    <mergeCell ref="I20:J20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2026-02-08T16:49:09Z</dcterms:modified>
  <cp:category/>
  <cp:contentStatus/>
</cp:coreProperties>
</file>