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autoCompressPictures="0" defaultThemeVersion="124226"/>
  <mc:AlternateContent xmlns:mc="http://schemas.openxmlformats.org/markup-compatibility/2006">
    <mc:Choice Requires="x15">
      <x15ac:absPath xmlns:x15ac="http://schemas.microsoft.com/office/spreadsheetml/2010/11/ac" url="/Users/tannerbeuret/Desktop/Loss Solutins Group/Jobs/Richard Hurtado DBA OG Birrieria/"/>
    </mc:Choice>
  </mc:AlternateContent>
  <xr:revisionPtr revIDLastSave="0" documentId="13_ncr:1_{805276A5-5DF7-4240-BBA3-59BEC97C5F52}" xr6:coauthVersionLast="47" xr6:coauthVersionMax="47" xr10:uidLastSave="{00000000-0000-0000-0000-000000000000}"/>
  <bookViews>
    <workbookView xWindow="7560" yWindow="2780" windowWidth="28800" windowHeight="15840" xr2:uid="{00000000-000D-0000-FFFF-FFFF00000000}"/>
  </bookViews>
  <sheets>
    <sheet name="Sheet1" sheetId="1" r:id="rId1"/>
    <sheet name="Sheet2" sheetId="2" r:id="rId2"/>
    <sheet name="Sheet3" sheetId="3" r:id="rId3"/>
  </sheets>
  <calcPr calcId="191028"/>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24" i="1" l="1"/>
  <c r="H24" i="1"/>
  <c r="F22" i="1"/>
  <c r="H22" i="1"/>
  <c r="L25" i="1"/>
  <c r="K25" i="1" s="1"/>
  <c r="M25" i="1" s="1"/>
  <c r="L23" i="1"/>
  <c r="E25" i="1"/>
  <c r="H23" i="1"/>
  <c r="E23" i="1"/>
  <c r="F32" i="1"/>
  <c r="K29" i="1"/>
  <c r="F31" i="1"/>
  <c r="F30" i="1"/>
  <c r="F29" i="1"/>
  <c r="F28" i="1"/>
  <c r="F27" i="1"/>
  <c r="F26" i="1"/>
  <c r="D11" i="1"/>
  <c r="E11" i="1" s="1"/>
  <c r="F18" i="1"/>
  <c r="H18" i="1" s="1"/>
  <c r="C18" i="1"/>
  <c r="E18" i="1"/>
  <c r="H16" i="1"/>
  <c r="H11" i="1"/>
  <c r="L17" i="1"/>
  <c r="D26" i="1"/>
  <c r="E30" i="1"/>
  <c r="E29" i="1"/>
  <c r="E32" i="1"/>
  <c r="E31" i="1"/>
  <c r="E26" i="1"/>
  <c r="D24" i="1"/>
  <c r="D22" i="1"/>
  <c r="E22" i="1" s="1"/>
  <c r="L19" i="1"/>
  <c r="H19" i="1"/>
  <c r="E19" i="1"/>
  <c r="H17" i="1"/>
  <c r="E17" i="1"/>
  <c r="L21" i="1"/>
  <c r="H21" i="1"/>
  <c r="E21" i="1"/>
  <c r="L20" i="1"/>
  <c r="H20" i="1"/>
  <c r="E20" i="1"/>
  <c r="E27" i="1"/>
  <c r="E24" i="1"/>
  <c r="D12" i="1"/>
  <c r="L13" i="1"/>
  <c r="L14" i="1"/>
  <c r="L15" i="1"/>
  <c r="L16" i="1"/>
  <c r="E13" i="1"/>
  <c r="H13" i="1"/>
  <c r="E14" i="1"/>
  <c r="H14" i="1"/>
  <c r="E15" i="1"/>
  <c r="H15" i="1"/>
  <c r="E16" i="1"/>
  <c r="E28" i="1"/>
  <c r="K28" i="1"/>
  <c r="E33" i="1"/>
  <c r="H33" i="1"/>
  <c r="K23" i="1" l="1"/>
  <c r="M23" i="1" s="1"/>
  <c r="K13" i="1"/>
  <c r="M13" i="1" s="1"/>
  <c r="K33" i="1"/>
  <c r="M33" i="1" s="1"/>
  <c r="K16" i="1"/>
  <c r="M16" i="1" s="1"/>
  <c r="K14" i="1"/>
  <c r="M14" i="1" s="1"/>
  <c r="K30" i="1"/>
  <c r="M30" i="1" s="1"/>
  <c r="M29" i="1"/>
  <c r="K32" i="1"/>
  <c r="M32" i="1" s="1"/>
  <c r="K31" i="1"/>
  <c r="M31" i="1" s="1"/>
  <c r="K19" i="1"/>
  <c r="M19" i="1" s="1"/>
  <c r="K18" i="1"/>
  <c r="M18" i="1" s="1"/>
  <c r="K17" i="1"/>
  <c r="M17" i="1" s="1"/>
  <c r="K22" i="1"/>
  <c r="M22" i="1" s="1"/>
  <c r="K21" i="1"/>
  <c r="M21" i="1" s="1"/>
  <c r="K20" i="1"/>
  <c r="M20" i="1" s="1"/>
  <c r="K27" i="1"/>
  <c r="M27" i="1" s="1"/>
  <c r="K26" i="1"/>
  <c r="M26" i="1" s="1"/>
  <c r="K24" i="1"/>
  <c r="M24" i="1" s="1"/>
  <c r="K15" i="1"/>
  <c r="M15" i="1" s="1"/>
  <c r="K11" i="1"/>
  <c r="M28" i="1"/>
  <c r="E12" i="1" l="1"/>
  <c r="H12" i="1"/>
  <c r="K12" i="1" s="1"/>
  <c r="E34" i="1" l="1"/>
  <c r="E36" i="1" s="1"/>
  <c r="E39" i="1" s="1"/>
  <c r="M12" i="1"/>
  <c r="H34" i="1" l="1"/>
  <c r="H36" i="1" s="1"/>
  <c r="E42" i="1" s="1"/>
  <c r="K34" i="1"/>
  <c r="K36" i="1" s="1"/>
  <c r="E45" i="1" s="1"/>
  <c r="M11" i="1" l="1"/>
  <c r="M34" i="1" s="1"/>
  <c r="M36" i="1" s="1"/>
  <c r="E48" i="1" s="1"/>
</calcChain>
</file>

<file path=xl/sharedStrings.xml><?xml version="1.0" encoding="utf-8"?>
<sst xmlns="http://schemas.openxmlformats.org/spreadsheetml/2006/main" count="126" uniqueCount="75">
  <si>
    <t>COLOR DENOTES PRICING DISCREPANCY</t>
  </si>
  <si>
    <t>REF #</t>
  </si>
  <si>
    <t>ITEM</t>
  </si>
  <si>
    <t>CLAIM PRESENTED</t>
  </si>
  <si>
    <t>LSG RESEARCHED RCV</t>
  </si>
  <si>
    <t>AGE (YEARS)</t>
  </si>
  <si>
    <t>USEFUL LIFE (YEARS)</t>
  </si>
  <si>
    <t>ACV (MAX DEPRECIATION 75%)</t>
  </si>
  <si>
    <t>DEPRECIATION%</t>
  </si>
  <si>
    <t>DEPRECIATION</t>
  </si>
  <si>
    <t>CONDITION</t>
  </si>
  <si>
    <t>NOTES</t>
  </si>
  <si>
    <t>QTY</t>
  </si>
  <si>
    <t>UNIT COST</t>
  </si>
  <si>
    <t>TOTAL</t>
  </si>
  <si>
    <t>SUB-TOTAL</t>
  </si>
  <si>
    <t>SALES TAX</t>
  </si>
  <si>
    <t>TOTAL PRESENTED</t>
  </si>
  <si>
    <t>TOTAL RESEARCHED RCV</t>
  </si>
  <si>
    <t>TOTAL ACV</t>
  </si>
  <si>
    <t>TOTAL DEPRECIATION</t>
  </si>
  <si>
    <t>INSURED: RICHARD HURTADO DBA OG BIRRIERIA</t>
  </si>
  <si>
    <t xml:space="preserve">LSG MATTER #: 427800.16599-00 </t>
  </si>
  <si>
    <t>CLAIM #: CP0021403637</t>
  </si>
  <si>
    <t>DATE OF LOSS: 1/24/2026</t>
  </si>
  <si>
    <t>CAUSE OF LOSS: WATER</t>
  </si>
  <si>
    <t>GLOBAL FOOD TRUCKS LLC (971-300-3235) ESTIMATE FOR OG BIRRIERIA</t>
  </si>
  <si>
    <t>INSURANCE DOCUMENTATION &amp; PRESSURE TESTING</t>
  </si>
  <si>
    <t>PEX WATER LINES</t>
  </si>
  <si>
    <t>COMMERCIAL PLUMBING FITTINGS</t>
  </si>
  <si>
    <t>COMMERCIAL VALVES</t>
  </si>
  <si>
    <t>PIPE INSULATION AND FREEZING PROTECTION MATERIALS</t>
  </si>
  <si>
    <t>WATER HEATER UNIT</t>
  </si>
  <si>
    <t xml:space="preserve">WATER HEATER INSTALLATION </t>
  </si>
  <si>
    <t>WATER HEATER GAS HOOKUP / REGULATOR / CONNECTIONS</t>
  </si>
  <si>
    <t>WATER HEATER VENTING KIT / EXHAUST COMPONENTS</t>
  </si>
  <si>
    <t>WATER HEATER COMPLIANCE HARDWARE (MOUNTING)</t>
  </si>
  <si>
    <t>FLOOR RESTORATION (LABOR)</t>
  </si>
  <si>
    <t>SYSTEM INTEGRATION (PLUMBING AND MANIFOLD)</t>
  </si>
  <si>
    <t>SYSTEM INTEGRATION (FIXTURES, VALVES, LINES)</t>
  </si>
  <si>
    <t>SYSTEM INTEGRATION (TANK/HEATER CONNECTIONS, SENSORS, CONTROLS)</t>
  </si>
  <si>
    <t>SYSTEM INTEGRATION (SANITIZATION, FLUSHING, LEAK REMEDIATION)</t>
  </si>
  <si>
    <t>SYSTEM INTEGRATION (FINAL PRESSURE TEST, QC, DOCUMENTATION)</t>
  </si>
  <si>
    <t>SYSTEM INTEGRATION (COMMISSIONING, START UP, FUNCTIONAL TEST)</t>
  </si>
  <si>
    <t xml:space="preserve">SHOP SUPPLIES, SEALANTS, FASTENERS, CONSUMABLES. </t>
  </si>
  <si>
    <t>N/A</t>
  </si>
  <si>
    <t>AVERAGE</t>
  </si>
  <si>
    <t xml:space="preserve">COMMERCIAL EXTERIOR PROPANE TANKLESS HOT WATER SYSTEM EQUIVALENT TO PRECISION TEMP RV-700. </t>
  </si>
  <si>
    <t xml:space="preserve">RV STYLE GAS REGULATOR AND CONNECTIONS. PLUS A VENDOR MARK UP ON MATERIALS. </t>
  </si>
  <si>
    <t xml:space="preserve">WATER HEATER VENTING KIT FOR EXHAUST. PLUS A VENDOR MARK UP ON MATERIALS. </t>
  </si>
  <si>
    <t xml:space="preserve">TWO (2) TECHNICIANS FOR SIX (6) HOURS OF LABOR EACH TO INSTALL FIXTURES, VALVES, AND LINES. </t>
  </si>
  <si>
    <t xml:space="preserve">SHOP SUPPLIES, SEALANTS, FASTENERS, CONSUMABLES, ETC. </t>
  </si>
  <si>
    <t xml:space="preserve">PIPE INSULATION AND OTHER FREEZING PROTECTION MATERIALS LIKE INSULATION. </t>
  </si>
  <si>
    <t xml:space="preserve">WATER HEATER INSTALLATION. TWO (2) TECHNICIANS FOR EIGHT (8) HOURS EACH. </t>
  </si>
  <si>
    <t xml:space="preserve">TANKLESS WATER HEATER WALL MOUNTED BRACKET KIT TO SECURE WATER HEATER.. </t>
  </si>
  <si>
    <t xml:space="preserve">ONE (1) TECHNICIAN FOR JUST OVER NINE (9) HOURS OF LABOR TO MAKE FINAL SANITIZATION WORK, FLUSHING OF THE SYSTEM, AND TO TEST/CORRECT ANY LEAKS. </t>
  </si>
  <si>
    <t>ONE (1) TECHNICIAN FOR SIX (6) HOURS FOR FINAL TESTING, QUALITY CHECKS, DOCUMENTATION, ETC.</t>
  </si>
  <si>
    <t>ASSORTMENT OF PLUMBING FITTINGS AND CONNECTIONS. (1/2", 3/4", 1")</t>
  </si>
  <si>
    <t>ROUGHLY TEN (10) ONE HALF (1/2) AND THREE QUARTERS (3/4) INCH VALVES (VENDOR COULD NOT STATE HOW MANY VALVES THEY WOULD NEED.)</t>
  </si>
  <si>
    <t>FOUR (4) TECHNICIANS FOR A TOTAL OF ROUGHLY TWENTY ONE (21) HOURS OF WORK FOR ONE HUNDRED NINETY TWO (192) SQ/FEET OF FLOORING TO BE SCRUBBED, SANITIZED, AND CLEANED.</t>
  </si>
  <si>
    <t>TWO (2) TECHNICIANS FOR ROUGHLY SIXTEEN (16) HOURS OF LABOR TO INSTALL PLUMBING AND MANIFOLD EQUIPMENT..</t>
  </si>
  <si>
    <t xml:space="preserve">ONE (1) TECHNICIAN FOR ONE (1) DAY OF LABOR TO INSTALL TANK, HEATER, CONNECTIONS, SENSORS, AND CONTROLLERS. </t>
  </si>
  <si>
    <t>ONE (1) TECHNICIAN FOR ROUGHLY TEN (10) HOURS OF LABOR TO START THE SYSTEM UP, RUN IT THROUGH ITS PASSES, AND ENSURE EVERYTHING IS WORKING PROPERLY.</t>
  </si>
  <si>
    <t>TWO (2) TECHNICIANS FOR ROUGHLY TEN (10) HOURS OF WORK TO PRESSURE TEST AND ASSESS THE TRUCK AND ITS DAMAGES. THIS ALSO INCLUDES INSURANCE PAPERWORK AND TIME DISCUSSING THE DAMAGES WITH THEM.</t>
  </si>
  <si>
    <t>DEMOLITION &amp; REMOVAL</t>
  </si>
  <si>
    <t xml:space="preserve">FOUR (4) TECHNICIANS TO WORK A TOTAL OF FOURTH (40) HOURS TO DEMOLITION / REMOVAL OF DAMAGED EQUIPMENT. </t>
  </si>
  <si>
    <t xml:space="preserve">ROUGHLY ONE HUNDRED AND FIFTY (150) FEET OF 1/2" AND 3/4" PEX WATER LINES. ($211/100FT = 2.11 $/FT) (VENDOR COULD NOT STATE EXACTLY HOW MANY FEET OF WHAT SIZE PIPING THEY WOULD REQUIRE AND SAID THAT IT WOULD BE ROUGHLY ONE HUNDRED FIFTY (150) FEET OF WATER LINES. </t>
  </si>
  <si>
    <t>75 GALLON FRESH WATER TANK AND INSTALL (LABOR)</t>
  </si>
  <si>
    <t>250 GALLON GRAY WATER TANK AND INSTALL (LABOR)</t>
  </si>
  <si>
    <t>75 GALLON FRESH WATER TANK (MATERIALS)</t>
  </si>
  <si>
    <t>250 GALLON GRAY WATER TANK (MATERIALS)</t>
  </si>
  <si>
    <t>SEVENTY FIVE (75) GALLON RV FRESH WATER TANK.</t>
  </si>
  <si>
    <t>TWO HUNDRED FIFTY (250) GALLON RV GRAY WATER TANK.</t>
  </si>
  <si>
    <t>TWO (2) TECHNICIANS FOR ROUGHLY SEVEN (7) HOURS EACH TO INSTALL THE FRESH WATER TANK ALONG WITH WATER LINES. (THIS COST ALSO INCORPORATES THE COST OF THE TANK.) LSG BROKE THIS COST INTO ITS TWO (2) COMPONENTS (LABOR VS MATERIALS)</t>
  </si>
  <si>
    <t>TWO (2) TECHNICIANS FOR ROUGHLY TWENTY THREE (23) LABOR  HOURS TO INSTALL GRAY WATER TANK AND WATER LINES.(THIS COST ALSO INCORPORATES THE COST OF THE TANK.) LSG BROKE THIS COST INTO ITS TWO (2) COMPONENTS (LABOR VS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</si>
</sst>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9" x14ac:knownFonts="1">
    <font>
      <sz val="10"/>
      <name val="Arial"/>
    </font>
    <font>
      <sz val="8"/>
      <name val="Arial"/>
      <family val="2"/>
    </font>
    <font>
      <sz val="10"/>
      <name val="Arial"/>
      <family val="2"/>
    </font>
    <font>
      <u/>
      <sz val="10"/>
      <color theme="10"/>
      <name val="Arial"/>
      <family val="2"/>
    </font>
    <font>
      <u/>
      <sz val="10"/>
      <color theme="11"/>
      <name val="Arial"/>
      <family val="2"/>
    </font>
    <font>
      <sz val="10"/>
      <name val="Arial"/>
      <family val="2"/>
    </font>
    <font>
      <b/>
      <sz val="12"/>
      <name val="Arial"/>
      <family val="2"/>
    </font>
    <font>
      <sz val="12"/>
      <name val="Arial"/>
      <family val="2"/>
    </font>
    <font>
      <b/>
      <sz val="12"/>
      <color indexed="8"/>
      <name val="Arial"/>
      <family val="2"/>
    </font>
  </fonts>
  <fills count="6">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6" tint="0.39997558519241921"/>
        <bgColor indexed="64"/>
      </patternFill>
    </fill>
  </fills>
  <borders count="25">
    <border>
      <left/>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top/>
      <bottom style="medium">
        <color auto="1"/>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2"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9" fontId="5" fillId="0" borderId="0" applyFont="0" applyFill="0" applyBorder="0" applyAlignment="0" applyProtection="0"/>
  </cellStyleXfs>
  <cellXfs count="118">
    <xf numFmtId="0" fontId="0" fillId="0" borderId="0" xfId="0"/>
    <xf numFmtId="0" fontId="6" fillId="0" borderId="0" xfId="0" applyFont="1" applyAlignment="1">
      <alignment horizontal="center"/>
    </xf>
    <xf numFmtId="0" fontId="6" fillId="0" borderId="0" xfId="0" applyFont="1"/>
    <xf numFmtId="0" fontId="7" fillId="0" borderId="0" xfId="0" applyFont="1"/>
    <xf numFmtId="0" fontId="6" fillId="0" borderId="0" xfId="0" applyFont="1" applyAlignment="1">
      <alignment horizontal="center" wrapText="1"/>
    </xf>
    <xf numFmtId="0" fontId="7" fillId="0" borderId="0" xfId="0" applyFont="1" applyAlignment="1">
      <alignment horizontal="center"/>
    </xf>
    <xf numFmtId="0" fontId="6" fillId="0" borderId="0" xfId="0" applyFont="1" applyAlignment="1">
      <alignment vertical="center"/>
    </xf>
    <xf numFmtId="14" fontId="6" fillId="0" borderId="0" xfId="0" applyNumberFormat="1" applyFont="1" applyAlignment="1">
      <alignment horizontal="center"/>
    </xf>
    <xf numFmtId="0" fontId="6" fillId="0" borderId="0" xfId="0" applyFont="1" applyAlignment="1">
      <alignment horizontal="center" vertical="center"/>
    </xf>
    <xf numFmtId="0" fontId="7" fillId="0" borderId="0" xfId="0" applyFont="1" applyAlignment="1">
      <alignment horizontal="left" wrapText="1"/>
    </xf>
    <xf numFmtId="0" fontId="7" fillId="0" borderId="0" xfId="0" applyFont="1" applyAlignment="1">
      <alignment vertical="center"/>
    </xf>
    <xf numFmtId="0" fontId="6" fillId="3" borderId="12" xfId="0" applyFont="1" applyFill="1" applyBorder="1" applyAlignment="1">
      <alignment horizontal="center" vertical="center" wrapText="1"/>
    </xf>
    <xf numFmtId="0" fontId="6" fillId="3" borderId="12" xfId="0" applyFont="1" applyFill="1" applyBorder="1" applyAlignment="1">
      <alignment horizontal="center" vertical="center"/>
    </xf>
    <xf numFmtId="164" fontId="6" fillId="3" borderId="12" xfId="0" applyNumberFormat="1" applyFont="1" applyFill="1" applyBorder="1" applyAlignment="1">
      <alignment horizontal="center" vertical="center" wrapText="1"/>
    </xf>
    <xf numFmtId="0" fontId="6" fillId="2" borderId="1" xfId="1" applyNumberFormat="1" applyFont="1" applyFill="1" applyBorder="1" applyAlignment="1"/>
    <xf numFmtId="0" fontId="6" fillId="2" borderId="2" xfId="1" applyNumberFormat="1" applyFont="1" applyFill="1" applyBorder="1" applyAlignment="1"/>
    <xf numFmtId="44" fontId="6" fillId="2" borderId="13" xfId="1" applyFont="1" applyFill="1" applyBorder="1" applyAlignment="1">
      <alignment horizontal="right"/>
    </xf>
    <xf numFmtId="44" fontId="7" fillId="2" borderId="7" xfId="1" applyFont="1" applyFill="1" applyBorder="1" applyAlignment="1"/>
    <xf numFmtId="44" fontId="7" fillId="2" borderId="9" xfId="1" applyFont="1" applyFill="1" applyBorder="1" applyAlignment="1"/>
    <xf numFmtId="44" fontId="7" fillId="0" borderId="15" xfId="1" applyFont="1" applyFill="1" applyBorder="1" applyAlignment="1">
      <alignment horizontal="right"/>
    </xf>
    <xf numFmtId="44" fontId="6" fillId="2" borderId="7" xfId="1" applyFont="1" applyFill="1" applyBorder="1" applyAlignment="1"/>
    <xf numFmtId="44" fontId="6" fillId="2" borderId="9" xfId="1" applyFont="1" applyFill="1" applyBorder="1" applyAlignment="1"/>
    <xf numFmtId="44" fontId="6" fillId="2" borderId="15" xfId="1" applyFont="1" applyFill="1" applyBorder="1" applyAlignment="1">
      <alignment horizontal="right"/>
    </xf>
    <xf numFmtId="44" fontId="7" fillId="0" borderId="0" xfId="0" applyNumberFormat="1" applyFont="1" applyAlignment="1">
      <alignment horizontal="center"/>
    </xf>
    <xf numFmtId="0" fontId="6" fillId="3" borderId="3"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2" xfId="0" applyFont="1" applyFill="1" applyBorder="1" applyAlignment="1">
      <alignment horizontal="center" vertical="center"/>
    </xf>
    <xf numFmtId="44" fontId="6" fillId="0" borderId="12" xfId="0" applyNumberFormat="1" applyFont="1" applyBorder="1" applyAlignment="1">
      <alignment horizontal="center" vertical="center"/>
    </xf>
    <xf numFmtId="44" fontId="6" fillId="0" borderId="13" xfId="0" applyNumberFormat="1" applyFont="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3" borderId="12"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2"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164" fontId="6" fillId="3" borderId="12" xfId="0" applyNumberFormat="1" applyFont="1" applyFill="1" applyBorder="1" applyAlignment="1">
      <alignment horizontal="center" vertical="center" wrapText="1"/>
    </xf>
    <xf numFmtId="164" fontId="6" fillId="3" borderId="14" xfId="0" applyNumberFormat="1" applyFont="1" applyFill="1" applyBorder="1" applyAlignment="1">
      <alignment horizontal="center" vertical="center" wrapText="1"/>
    </xf>
    <xf numFmtId="0" fontId="6" fillId="0" borderId="13" xfId="0" applyFont="1" applyBorder="1" applyAlignment="1">
      <alignment horizontal="center" vertical="center"/>
    </xf>
    <xf numFmtId="0" fontId="6" fillId="0" borderId="3" xfId="0" applyFont="1" applyBorder="1" applyAlignment="1">
      <alignment horizontal="left"/>
    </xf>
    <xf numFmtId="0" fontId="6" fillId="0" borderId="10" xfId="0" applyFont="1" applyBorder="1" applyAlignment="1">
      <alignment horizontal="left"/>
    </xf>
    <xf numFmtId="0" fontId="6" fillId="0" borderId="4" xfId="0" applyFont="1" applyBorder="1" applyAlignment="1">
      <alignment horizontal="left"/>
    </xf>
    <xf numFmtId="0" fontId="6" fillId="0" borderId="5" xfId="0" applyFont="1" applyBorder="1" applyAlignment="1">
      <alignment horizontal="left"/>
    </xf>
    <xf numFmtId="0" fontId="6" fillId="0" borderId="0" xfId="0" applyFont="1" applyAlignment="1">
      <alignment horizontal="left"/>
    </xf>
    <xf numFmtId="0" fontId="6" fillId="0" borderId="6" xfId="0" applyFont="1" applyBorder="1" applyAlignment="1">
      <alignment horizontal="left"/>
    </xf>
    <xf numFmtId="0" fontId="6" fillId="0" borderId="1" xfId="0" applyFont="1" applyBorder="1" applyAlignment="1">
      <alignment horizontal="left"/>
    </xf>
    <xf numFmtId="0" fontId="6" fillId="0" borderId="11" xfId="0" applyFont="1" applyBorder="1" applyAlignment="1">
      <alignment horizontal="left"/>
    </xf>
    <xf numFmtId="0" fontId="6" fillId="0" borderId="2" xfId="0" applyFont="1" applyBorder="1" applyAlignment="1">
      <alignment horizontal="left"/>
    </xf>
    <xf numFmtId="0" fontId="8" fillId="0" borderId="7" xfId="0" applyFont="1" applyBorder="1" applyAlignment="1">
      <alignment horizontal="left"/>
    </xf>
    <xf numFmtId="0" fontId="8" fillId="0" borderId="8" xfId="0" applyFont="1" applyBorder="1" applyAlignment="1">
      <alignment horizontal="left"/>
    </xf>
    <xf numFmtId="0" fontId="8" fillId="0" borderId="9" xfId="0" applyFont="1" applyBorder="1" applyAlignment="1">
      <alignment horizontal="left"/>
    </xf>
    <xf numFmtId="0" fontId="6" fillId="4" borderId="3" xfId="0" applyFont="1" applyFill="1" applyBorder="1" applyAlignment="1">
      <alignment horizontal="center" wrapText="1"/>
    </xf>
    <xf numFmtId="0" fontId="6" fillId="4" borderId="4" xfId="0" applyFont="1" applyFill="1" applyBorder="1" applyAlignment="1">
      <alignment horizontal="center" wrapText="1"/>
    </xf>
    <xf numFmtId="0" fontId="6" fillId="4" borderId="1" xfId="0" applyFont="1" applyFill="1" applyBorder="1" applyAlignment="1">
      <alignment horizontal="center" wrapText="1"/>
    </xf>
    <xf numFmtId="0" fontId="6" fillId="4" borderId="2" xfId="0" applyFont="1" applyFill="1" applyBorder="1" applyAlignment="1">
      <alignment horizontal="center" wrapText="1"/>
    </xf>
    <xf numFmtId="0" fontId="6" fillId="0" borderId="0" xfId="0" applyFont="1" applyAlignment="1">
      <alignment horizontal="center"/>
    </xf>
    <xf numFmtId="0" fontId="8" fillId="0" borderId="1" xfId="0" applyFont="1" applyBorder="1" applyAlignment="1">
      <alignment horizontal="left"/>
    </xf>
    <xf numFmtId="0" fontId="8" fillId="0" borderId="11" xfId="0" applyFont="1" applyBorder="1" applyAlignment="1">
      <alignment horizontal="left"/>
    </xf>
    <xf numFmtId="0" fontId="8" fillId="0" borderId="2" xfId="0" applyFont="1" applyBorder="1" applyAlignment="1">
      <alignment horizontal="left"/>
    </xf>
    <xf numFmtId="0" fontId="6" fillId="2" borderId="1" xfId="1" applyNumberFormat="1" applyFont="1" applyFill="1" applyBorder="1" applyAlignment="1">
      <alignment horizontal="center"/>
    </xf>
    <xf numFmtId="0" fontId="6" fillId="2" borderId="2" xfId="1" applyNumberFormat="1" applyFont="1" applyFill="1" applyBorder="1" applyAlignment="1">
      <alignment horizontal="center"/>
    </xf>
    <xf numFmtId="0" fontId="6" fillId="2" borderId="7" xfId="1" applyNumberFormat="1" applyFont="1" applyFill="1" applyBorder="1" applyAlignment="1">
      <alignment horizontal="center"/>
    </xf>
    <xf numFmtId="0" fontId="6" fillId="2" borderId="9" xfId="1" applyNumberFormat="1" applyFont="1" applyFill="1" applyBorder="1" applyAlignment="1">
      <alignment horizontal="center"/>
    </xf>
    <xf numFmtId="0" fontId="7" fillId="2" borderId="7" xfId="1" applyNumberFormat="1" applyFont="1" applyFill="1" applyBorder="1" applyAlignment="1">
      <alignment horizontal="center"/>
    </xf>
    <xf numFmtId="0" fontId="7" fillId="2" borderId="9" xfId="1" applyNumberFormat="1" applyFont="1" applyFill="1" applyBorder="1" applyAlignment="1">
      <alignment horizontal="center"/>
    </xf>
    <xf numFmtId="44" fontId="6" fillId="4" borderId="13" xfId="1" applyFont="1" applyFill="1" applyBorder="1" applyAlignment="1"/>
    <xf numFmtId="44" fontId="7" fillId="4" borderId="15" xfId="1" applyFont="1" applyFill="1" applyBorder="1" applyAlignment="1"/>
    <xf numFmtId="44" fontId="6" fillId="4" borderId="15" xfId="1" applyFont="1" applyFill="1" applyBorder="1" applyAlignment="1"/>
    <xf numFmtId="44" fontId="6" fillId="4" borderId="13" xfId="1" applyFont="1" applyFill="1" applyBorder="1" applyAlignment="1">
      <alignment horizontal="center" vertical="center"/>
    </xf>
    <xf numFmtId="44" fontId="6" fillId="4" borderId="12" xfId="0" applyNumberFormat="1" applyFont="1" applyFill="1" applyBorder="1" applyAlignment="1">
      <alignment horizontal="center" vertical="center"/>
    </xf>
    <xf numFmtId="0" fontId="6" fillId="4" borderId="13" xfId="0" applyFont="1" applyFill="1" applyBorder="1" applyAlignment="1">
      <alignment horizontal="center" vertical="center"/>
    </xf>
    <xf numFmtId="0" fontId="7" fillId="2" borderId="16" xfId="0" applyFont="1" applyFill="1" applyBorder="1" applyAlignment="1">
      <alignment horizontal="center"/>
    </xf>
    <xf numFmtId="0" fontId="7" fillId="2" borderId="16" xfId="0" applyFont="1" applyFill="1" applyBorder="1" applyAlignment="1">
      <alignment horizontal="left" wrapText="1"/>
    </xf>
    <xf numFmtId="0" fontId="7" fillId="0" borderId="16" xfId="0" applyFont="1" applyFill="1" applyBorder="1" applyAlignment="1">
      <alignment horizontal="center"/>
    </xf>
    <xf numFmtId="44" fontId="7" fillId="0" borderId="16" xfId="1" applyFont="1" applyFill="1" applyBorder="1" applyAlignment="1">
      <alignment horizontal="center"/>
    </xf>
    <xf numFmtId="44" fontId="7" fillId="2" borderId="16" xfId="1" applyFont="1" applyFill="1" applyBorder="1" applyAlignment="1">
      <alignment horizontal="center"/>
    </xf>
    <xf numFmtId="0" fontId="7" fillId="2" borderId="16" xfId="1" applyNumberFormat="1" applyFont="1" applyFill="1" applyBorder="1" applyAlignment="1">
      <alignment horizontal="center"/>
    </xf>
    <xf numFmtId="9" fontId="7" fillId="2" borderId="16" xfId="6" applyFont="1" applyFill="1" applyBorder="1" applyAlignment="1">
      <alignment horizontal="center"/>
    </xf>
    <xf numFmtId="0" fontId="7" fillId="2" borderId="16" xfId="1" applyNumberFormat="1" applyFont="1" applyFill="1" applyBorder="1" applyAlignment="1">
      <alignment horizontal="center" wrapText="1"/>
    </xf>
    <xf numFmtId="0" fontId="7" fillId="0" borderId="16" xfId="0" applyFont="1" applyBorder="1" applyAlignment="1">
      <alignment horizontal="left" wrapText="1"/>
    </xf>
    <xf numFmtId="0" fontId="7" fillId="0" borderId="16" xfId="1" applyNumberFormat="1" applyFont="1" applyFill="1" applyBorder="1" applyAlignment="1">
      <alignment horizontal="center"/>
    </xf>
    <xf numFmtId="0" fontId="7" fillId="0" borderId="16" xfId="1" applyNumberFormat="1" applyFont="1" applyFill="1" applyBorder="1" applyAlignment="1">
      <alignment horizontal="center" wrapText="1"/>
    </xf>
    <xf numFmtId="0" fontId="7" fillId="4" borderId="16" xfId="0" applyFont="1" applyFill="1" applyBorder="1" applyAlignment="1">
      <alignment horizontal="center"/>
    </xf>
    <xf numFmtId="0" fontId="7" fillId="4" borderId="16" xfId="0" applyFont="1" applyFill="1" applyBorder="1" applyAlignment="1">
      <alignment horizontal="left" wrapText="1"/>
    </xf>
    <xf numFmtId="44" fontId="7" fillId="4" borderId="16" xfId="1" applyFont="1" applyFill="1" applyBorder="1" applyAlignment="1">
      <alignment horizontal="center"/>
    </xf>
    <xf numFmtId="0" fontId="7" fillId="4" borderId="16" xfId="1" applyNumberFormat="1" applyFont="1" applyFill="1" applyBorder="1" applyAlignment="1">
      <alignment horizontal="center"/>
    </xf>
    <xf numFmtId="9" fontId="7" fillId="4" borderId="16" xfId="6" applyFont="1" applyFill="1" applyBorder="1" applyAlignment="1">
      <alignment horizontal="center"/>
    </xf>
    <xf numFmtId="0" fontId="7" fillId="4" borderId="16" xfId="1" applyNumberFormat="1" applyFont="1" applyFill="1" applyBorder="1" applyAlignment="1">
      <alignment horizontal="center" wrapText="1"/>
    </xf>
    <xf numFmtId="0" fontId="7" fillId="2" borderId="17" xfId="0" applyFont="1" applyFill="1" applyBorder="1" applyAlignment="1">
      <alignment horizontal="center"/>
    </xf>
    <xf numFmtId="0" fontId="7" fillId="2" borderId="18" xfId="0" applyFont="1" applyFill="1" applyBorder="1" applyAlignment="1">
      <alignment horizontal="left" wrapText="1"/>
    </xf>
    <xf numFmtId="0" fontId="7" fillId="0" borderId="18" xfId="0" applyFont="1" applyFill="1" applyBorder="1" applyAlignment="1">
      <alignment horizontal="center"/>
    </xf>
    <xf numFmtId="44" fontId="7" fillId="0" borderId="18" xfId="1" applyFont="1" applyFill="1" applyBorder="1" applyAlignment="1">
      <alignment horizontal="center"/>
    </xf>
    <xf numFmtId="44" fontId="7" fillId="2" borderId="18" xfId="1" applyFont="1" applyFill="1" applyBorder="1" applyAlignment="1">
      <alignment horizontal="center"/>
    </xf>
    <xf numFmtId="0" fontId="7" fillId="2" borderId="18" xfId="1" applyNumberFormat="1" applyFont="1" applyFill="1" applyBorder="1" applyAlignment="1">
      <alignment horizontal="center"/>
    </xf>
    <xf numFmtId="9" fontId="7" fillId="2" borderId="18" xfId="6" applyFont="1" applyFill="1" applyBorder="1" applyAlignment="1">
      <alignment horizontal="center"/>
    </xf>
    <xf numFmtId="0" fontId="7" fillId="2" borderId="18" xfId="1" applyNumberFormat="1" applyFont="1" applyFill="1" applyBorder="1" applyAlignment="1">
      <alignment horizontal="center" wrapText="1"/>
    </xf>
    <xf numFmtId="0" fontId="7" fillId="2" borderId="19" xfId="0" applyFont="1" applyFill="1" applyBorder="1" applyAlignment="1">
      <alignment horizontal="left" wrapText="1"/>
    </xf>
    <xf numFmtId="0" fontId="7" fillId="0" borderId="20" xfId="0" applyFont="1" applyBorder="1" applyAlignment="1">
      <alignment horizontal="center"/>
    </xf>
    <xf numFmtId="0" fontId="7" fillId="0" borderId="21" xfId="0" applyFont="1" applyBorder="1" applyAlignment="1">
      <alignment horizontal="left" wrapText="1"/>
    </xf>
    <xf numFmtId="0" fontId="7" fillId="4" borderId="20" xfId="0" applyFont="1" applyFill="1" applyBorder="1" applyAlignment="1">
      <alignment horizontal="center"/>
    </xf>
    <xf numFmtId="0" fontId="7" fillId="4" borderId="21" xfId="0" applyFont="1" applyFill="1" applyBorder="1" applyAlignment="1">
      <alignment horizontal="left" wrapText="1"/>
    </xf>
    <xf numFmtId="0" fontId="7" fillId="2" borderId="20" xfId="0" applyFont="1" applyFill="1" applyBorder="1" applyAlignment="1">
      <alignment horizontal="center"/>
    </xf>
    <xf numFmtId="0" fontId="7" fillId="2" borderId="21" xfId="0" applyFont="1" applyFill="1" applyBorder="1" applyAlignment="1">
      <alignment horizontal="left" wrapText="1"/>
    </xf>
    <xf numFmtId="0" fontId="7" fillId="0" borderId="22" xfId="0" applyFont="1" applyBorder="1" applyAlignment="1">
      <alignment horizontal="center"/>
    </xf>
    <xf numFmtId="0" fontId="7" fillId="0" borderId="23" xfId="0" applyFont="1" applyBorder="1" applyAlignment="1">
      <alignment horizontal="left" wrapText="1"/>
    </xf>
    <xf numFmtId="0" fontId="7" fillId="2" borderId="23" xfId="0" applyFont="1" applyFill="1" applyBorder="1" applyAlignment="1">
      <alignment horizontal="center"/>
    </xf>
    <xf numFmtId="44" fontId="7" fillId="0" borderId="23" xfId="1" applyFont="1" applyFill="1" applyBorder="1" applyAlignment="1">
      <alignment horizontal="center"/>
    </xf>
    <xf numFmtId="0" fontId="7" fillId="0" borderId="23" xfId="1" applyNumberFormat="1" applyFont="1" applyFill="1" applyBorder="1" applyAlignment="1">
      <alignment horizontal="center"/>
    </xf>
    <xf numFmtId="44" fontId="7" fillId="2" borderId="23" xfId="1" applyFont="1" applyFill="1" applyBorder="1" applyAlignment="1">
      <alignment horizontal="center"/>
    </xf>
    <xf numFmtId="9" fontId="7" fillId="2" borderId="23" xfId="6" applyFont="1" applyFill="1" applyBorder="1" applyAlignment="1">
      <alignment horizontal="center"/>
    </xf>
    <xf numFmtId="0" fontId="7" fillId="0" borderId="23" xfId="1" applyNumberFormat="1" applyFont="1" applyFill="1" applyBorder="1" applyAlignment="1">
      <alignment horizontal="center" wrapText="1"/>
    </xf>
    <xf numFmtId="0" fontId="7" fillId="0" borderId="24" xfId="0" applyFont="1" applyBorder="1" applyAlignment="1">
      <alignment horizontal="left" wrapText="1"/>
    </xf>
  </cellXfs>
  <cellStyles count="7">
    <cellStyle name="Currency" xfId="1" builtinId="4"/>
    <cellStyle name="Followed Hyperlink" xfId="3" builtinId="9" hidden="1"/>
    <cellStyle name="Followed Hyperlink" xfId="5" builtinId="9" hidden="1"/>
    <cellStyle name="Hyperlink" xfId="2" builtinId="8" hidden="1"/>
    <cellStyle name="Hyperlink" xfId="4" builtinId="8" hidden="1"/>
    <cellStyle name="Normal" xfId="0" builtinId="0"/>
    <cellStyle name="Percent" xfId="6"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49"/>
  <sheetViews>
    <sheetView tabSelected="1" topLeftCell="A20" zoomScale="80" zoomScaleNormal="80" zoomScalePageLayoutView="90" workbookViewId="0">
      <selection activeCell="E22" sqref="E22"/>
    </sheetView>
  </sheetViews>
  <sheetFormatPr baseColWidth="10" defaultColWidth="8.83203125" defaultRowHeight="16" x14ac:dyDescent="0.2"/>
  <cols>
    <col min="1" max="1" width="5.6640625" style="3" customWidth="1"/>
    <col min="2" max="2" width="20.6640625" style="3" customWidth="1"/>
    <col min="3" max="3" width="5.6640625" style="5" customWidth="1"/>
    <col min="4" max="5" width="17.6640625" style="5" customWidth="1"/>
    <col min="6" max="6" width="8.83203125" style="5" customWidth="1"/>
    <col min="7" max="8" width="17.6640625" style="5" customWidth="1"/>
    <col min="9" max="10" width="9.6640625" style="5" customWidth="1"/>
    <col min="11" max="13" width="17.6640625" style="5" customWidth="1"/>
    <col min="14" max="14" width="13.6640625" style="5" customWidth="1"/>
    <col min="15" max="15" width="47.6640625" style="9" customWidth="1"/>
    <col min="16" max="17" width="8.83203125" style="3"/>
    <col min="18" max="18" width="9.6640625" style="3" bestFit="1" customWidth="1"/>
    <col min="19" max="16384" width="8.83203125" style="3"/>
  </cols>
  <sheetData>
    <row r="1" spans="1:18" ht="15.75" customHeight="1" x14ac:dyDescent="0.2">
      <c r="A1" s="45" t="s">
        <v>21</v>
      </c>
      <c r="B1" s="46"/>
      <c r="C1" s="46"/>
      <c r="D1" s="46"/>
      <c r="E1" s="47"/>
      <c r="F1" s="1"/>
      <c r="G1"/>
      <c r="H1"/>
      <c r="I1"/>
      <c r="J1" s="1"/>
      <c r="K1" s="1"/>
      <c r="L1" s="1"/>
      <c r="M1" s="1"/>
      <c r="N1" s="1"/>
      <c r="O1" s="2"/>
      <c r="P1" s="2"/>
    </row>
    <row r="2" spans="1:18" ht="15.75" customHeight="1" x14ac:dyDescent="0.2">
      <c r="A2" s="48" t="s">
        <v>22</v>
      </c>
      <c r="B2" s="49"/>
      <c r="C2" s="49"/>
      <c r="D2" s="49"/>
      <c r="E2" s="50"/>
      <c r="F2" s="1"/>
      <c r="G2"/>
      <c r="H2"/>
      <c r="I2"/>
      <c r="J2" s="1"/>
      <c r="K2" s="1"/>
      <c r="M2" s="1"/>
      <c r="N2" s="1"/>
      <c r="O2" s="2"/>
      <c r="P2" s="2"/>
    </row>
    <row r="3" spans="1:18" ht="15.75" customHeight="1" x14ac:dyDescent="0.2">
      <c r="A3" s="48" t="s">
        <v>23</v>
      </c>
      <c r="B3" s="49"/>
      <c r="C3" s="49"/>
      <c r="D3" s="49"/>
      <c r="E3" s="50"/>
      <c r="F3" s="1"/>
      <c r="G3" s="4"/>
      <c r="H3" s="4"/>
      <c r="I3" s="4"/>
      <c r="J3" s="1"/>
      <c r="K3" s="1"/>
      <c r="L3"/>
      <c r="M3" s="1"/>
      <c r="N3" s="1"/>
      <c r="O3" s="6"/>
      <c r="P3" s="6"/>
    </row>
    <row r="4" spans="1:18" ht="15.75" customHeight="1" x14ac:dyDescent="0.2">
      <c r="A4" s="48" t="s">
        <v>24</v>
      </c>
      <c r="B4" s="49"/>
      <c r="C4" s="49"/>
      <c r="D4" s="49"/>
      <c r="E4" s="50"/>
      <c r="F4" s="7"/>
      <c r="G4" s="57" t="s">
        <v>0</v>
      </c>
      <c r="H4" s="58"/>
      <c r="I4" s="4"/>
      <c r="J4" s="8"/>
      <c r="K4" s="8"/>
      <c r="L4" s="1"/>
      <c r="O4" s="3"/>
    </row>
    <row r="5" spans="1:18" ht="15.75" customHeight="1" x14ac:dyDescent="0.2">
      <c r="A5" s="51" t="s">
        <v>25</v>
      </c>
      <c r="B5" s="52"/>
      <c r="C5" s="52"/>
      <c r="D5" s="52"/>
      <c r="E5" s="53"/>
      <c r="F5" s="1"/>
      <c r="G5" s="59"/>
      <c r="H5" s="60"/>
      <c r="I5" s="4"/>
      <c r="J5" s="1"/>
      <c r="K5" s="1"/>
      <c r="L5" s="1"/>
      <c r="O5" s="3"/>
    </row>
    <row r="8" spans="1:18" s="10" customFormat="1" ht="25.5" customHeight="1" x14ac:dyDescent="0.15">
      <c r="A8" s="32" t="s">
        <v>26</v>
      </c>
      <c r="B8" s="33"/>
      <c r="C8" s="33"/>
      <c r="D8" s="33"/>
      <c r="E8" s="33"/>
      <c r="F8" s="33"/>
      <c r="G8" s="33"/>
      <c r="H8" s="33"/>
      <c r="I8" s="33"/>
      <c r="J8" s="33"/>
      <c r="K8" s="33"/>
      <c r="L8" s="33"/>
      <c r="M8" s="33"/>
      <c r="N8" s="33"/>
      <c r="O8" s="34"/>
    </row>
    <row r="9" spans="1:18" ht="24" customHeight="1" x14ac:dyDescent="0.2">
      <c r="A9" s="35" t="s">
        <v>1</v>
      </c>
      <c r="B9" s="37" t="s">
        <v>2</v>
      </c>
      <c r="C9" s="39" t="s">
        <v>3</v>
      </c>
      <c r="D9" s="40"/>
      <c r="E9" s="41"/>
      <c r="F9" s="39" t="s">
        <v>4</v>
      </c>
      <c r="G9" s="40"/>
      <c r="H9" s="41"/>
      <c r="I9" s="42" t="s">
        <v>5</v>
      </c>
      <c r="J9" s="42" t="s">
        <v>6</v>
      </c>
      <c r="K9" s="42" t="s">
        <v>7</v>
      </c>
      <c r="L9" s="42" t="s">
        <v>8</v>
      </c>
      <c r="M9" s="42" t="s">
        <v>9</v>
      </c>
      <c r="N9" s="42" t="s">
        <v>10</v>
      </c>
      <c r="O9" s="35" t="s">
        <v>11</v>
      </c>
    </row>
    <row r="10" spans="1:18" s="5" customFormat="1" ht="24" customHeight="1" thickBot="1" x14ac:dyDescent="0.25">
      <c r="A10" s="36"/>
      <c r="B10" s="38"/>
      <c r="C10" s="12" t="s">
        <v>12</v>
      </c>
      <c r="D10" s="11" t="s">
        <v>13</v>
      </c>
      <c r="E10" s="13" t="s">
        <v>14</v>
      </c>
      <c r="F10" s="13" t="s">
        <v>12</v>
      </c>
      <c r="G10" s="13" t="s">
        <v>13</v>
      </c>
      <c r="H10" s="13" t="s">
        <v>14</v>
      </c>
      <c r="I10" s="43"/>
      <c r="J10" s="43"/>
      <c r="K10" s="43"/>
      <c r="L10" s="43"/>
      <c r="M10" s="43"/>
      <c r="N10" s="43"/>
      <c r="O10" s="36"/>
    </row>
    <row r="11" spans="1:18" s="5" customFormat="1" ht="102" x14ac:dyDescent="0.2">
      <c r="A11" s="94">
        <v>1</v>
      </c>
      <c r="B11" s="95" t="s">
        <v>27</v>
      </c>
      <c r="C11" s="96">
        <v>16</v>
      </c>
      <c r="D11" s="97">
        <f>3000/16</f>
        <v>187.5</v>
      </c>
      <c r="E11" s="98">
        <f>D11*C11</f>
        <v>3000</v>
      </c>
      <c r="F11" s="96">
        <v>20</v>
      </c>
      <c r="G11" s="97">
        <v>150</v>
      </c>
      <c r="H11" s="98">
        <f>F11*G11</f>
        <v>3000</v>
      </c>
      <c r="I11" s="99" t="s">
        <v>45</v>
      </c>
      <c r="J11" s="99" t="s">
        <v>45</v>
      </c>
      <c r="K11" s="98">
        <f>H11*(1-L11)</f>
        <v>3000</v>
      </c>
      <c r="L11" s="100">
        <v>0</v>
      </c>
      <c r="M11" s="98">
        <f>H11-K11</f>
        <v>0</v>
      </c>
      <c r="N11" s="101" t="s">
        <v>45</v>
      </c>
      <c r="O11" s="102" t="s">
        <v>63</v>
      </c>
      <c r="R11" s="23"/>
    </row>
    <row r="12" spans="1:18" s="5" customFormat="1" ht="65" customHeight="1" x14ac:dyDescent="0.2">
      <c r="A12" s="103">
        <v>2</v>
      </c>
      <c r="B12" s="85" t="s">
        <v>64</v>
      </c>
      <c r="C12" s="77">
        <v>40</v>
      </c>
      <c r="D12" s="80">
        <f>6000/C12</f>
        <v>150</v>
      </c>
      <c r="E12" s="80">
        <f t="shared" ref="E12:E33" si="0">C12*D12</f>
        <v>6000</v>
      </c>
      <c r="F12" s="77">
        <v>40</v>
      </c>
      <c r="G12" s="80">
        <v>150</v>
      </c>
      <c r="H12" s="80">
        <f t="shared" ref="H12" si="1">F12*G12</f>
        <v>6000</v>
      </c>
      <c r="I12" s="86" t="s">
        <v>45</v>
      </c>
      <c r="J12" s="86" t="s">
        <v>45</v>
      </c>
      <c r="K12" s="81">
        <f t="shared" ref="K12:K33" si="2">H12*(1-L12)</f>
        <v>6000</v>
      </c>
      <c r="L12" s="83">
        <v>0</v>
      </c>
      <c r="M12" s="81">
        <f t="shared" ref="M12:M33" si="3">H12-K12</f>
        <v>0</v>
      </c>
      <c r="N12" s="87" t="s">
        <v>45</v>
      </c>
      <c r="O12" s="104" t="s">
        <v>65</v>
      </c>
    </row>
    <row r="13" spans="1:18" s="5" customFormat="1" ht="119" x14ac:dyDescent="0.2">
      <c r="A13" s="105">
        <v>3</v>
      </c>
      <c r="B13" s="89" t="s">
        <v>28</v>
      </c>
      <c r="C13" s="88">
        <v>150</v>
      </c>
      <c r="D13" s="90">
        <v>20</v>
      </c>
      <c r="E13" s="90">
        <f t="shared" si="0"/>
        <v>3000</v>
      </c>
      <c r="F13" s="88">
        <v>150</v>
      </c>
      <c r="G13" s="90">
        <v>2.11</v>
      </c>
      <c r="H13" s="90">
        <f>F13*G13</f>
        <v>316.5</v>
      </c>
      <c r="I13" s="91">
        <v>3</v>
      </c>
      <c r="J13" s="91">
        <v>20</v>
      </c>
      <c r="K13" s="90">
        <f t="shared" si="2"/>
        <v>269.02499999999998</v>
      </c>
      <c r="L13" s="92">
        <f t="shared" ref="L13:L25" si="4">IF((I13/J13)&gt;=0.75,0.75,IF((I13/J13)&gt;=0.1,(I13/J13),IF((I13/J13)&lt;=0.1,0.1)))</f>
        <v>0.15</v>
      </c>
      <c r="M13" s="90">
        <f t="shared" si="3"/>
        <v>47.475000000000023</v>
      </c>
      <c r="N13" s="93" t="s">
        <v>46</v>
      </c>
      <c r="O13" s="106" t="s">
        <v>66</v>
      </c>
    </row>
    <row r="14" spans="1:18" s="5" customFormat="1" ht="65" customHeight="1" x14ac:dyDescent="0.2">
      <c r="A14" s="103">
        <v>4</v>
      </c>
      <c r="B14" s="85" t="s">
        <v>29</v>
      </c>
      <c r="C14" s="77">
        <v>1</v>
      </c>
      <c r="D14" s="80">
        <v>2000</v>
      </c>
      <c r="E14" s="80">
        <f t="shared" si="0"/>
        <v>2000</v>
      </c>
      <c r="F14" s="77">
        <v>1</v>
      </c>
      <c r="G14" s="80">
        <v>2000</v>
      </c>
      <c r="H14" s="80">
        <f t="shared" ref="H14" si="5">F14*G14</f>
        <v>2000</v>
      </c>
      <c r="I14" s="86">
        <v>3</v>
      </c>
      <c r="J14" s="86">
        <v>20</v>
      </c>
      <c r="K14" s="81">
        <f t="shared" si="2"/>
        <v>1700</v>
      </c>
      <c r="L14" s="83">
        <f t="shared" si="4"/>
        <v>0.15</v>
      </c>
      <c r="M14" s="81">
        <f t="shared" si="3"/>
        <v>300</v>
      </c>
      <c r="N14" s="87" t="s">
        <v>46</v>
      </c>
      <c r="O14" s="104" t="s">
        <v>57</v>
      </c>
    </row>
    <row r="15" spans="1:18" s="5" customFormat="1" ht="68" x14ac:dyDescent="0.2">
      <c r="A15" s="105">
        <v>5</v>
      </c>
      <c r="B15" s="89" t="s">
        <v>30</v>
      </c>
      <c r="C15" s="88">
        <v>1</v>
      </c>
      <c r="D15" s="90">
        <v>1000</v>
      </c>
      <c r="E15" s="90">
        <f t="shared" si="0"/>
        <v>1000</v>
      </c>
      <c r="F15" s="88">
        <v>10</v>
      </c>
      <c r="G15" s="90">
        <v>40</v>
      </c>
      <c r="H15" s="90">
        <f>F15*G15</f>
        <v>400</v>
      </c>
      <c r="I15" s="91">
        <v>3</v>
      </c>
      <c r="J15" s="91">
        <v>20</v>
      </c>
      <c r="K15" s="90">
        <f t="shared" si="2"/>
        <v>340</v>
      </c>
      <c r="L15" s="92">
        <f t="shared" si="4"/>
        <v>0.15</v>
      </c>
      <c r="M15" s="90">
        <f t="shared" si="3"/>
        <v>60</v>
      </c>
      <c r="N15" s="93" t="s">
        <v>46</v>
      </c>
      <c r="O15" s="106" t="s">
        <v>58</v>
      </c>
    </row>
    <row r="16" spans="1:18" s="5" customFormat="1" ht="73" customHeight="1" x14ac:dyDescent="0.2">
      <c r="A16" s="103">
        <v>6</v>
      </c>
      <c r="B16" s="85" t="s">
        <v>31</v>
      </c>
      <c r="C16" s="77">
        <v>1</v>
      </c>
      <c r="D16" s="80">
        <v>1000</v>
      </c>
      <c r="E16" s="80">
        <f t="shared" si="0"/>
        <v>1000</v>
      </c>
      <c r="F16" s="77">
        <v>1</v>
      </c>
      <c r="G16" s="80">
        <v>1000</v>
      </c>
      <c r="H16" s="80">
        <f t="shared" ref="H16" si="6">F16*G16</f>
        <v>1000</v>
      </c>
      <c r="I16" s="86">
        <v>3</v>
      </c>
      <c r="J16" s="86">
        <v>20</v>
      </c>
      <c r="K16" s="81">
        <f t="shared" si="2"/>
        <v>850</v>
      </c>
      <c r="L16" s="83">
        <f t="shared" si="4"/>
        <v>0.15</v>
      </c>
      <c r="M16" s="81">
        <f t="shared" si="3"/>
        <v>150</v>
      </c>
      <c r="N16" s="87" t="s">
        <v>46</v>
      </c>
      <c r="O16" s="104" t="s">
        <v>52</v>
      </c>
    </row>
    <row r="17" spans="1:15" s="5" customFormat="1" ht="65" customHeight="1" x14ac:dyDescent="0.2">
      <c r="A17" s="107">
        <v>7</v>
      </c>
      <c r="B17" s="78" t="s">
        <v>32</v>
      </c>
      <c r="C17" s="77">
        <v>1</v>
      </c>
      <c r="D17" s="81">
        <v>2100</v>
      </c>
      <c r="E17" s="81">
        <f t="shared" ref="E17:E19" si="7">C17*D17</f>
        <v>2100</v>
      </c>
      <c r="F17" s="77">
        <v>1</v>
      </c>
      <c r="G17" s="81">
        <v>2100</v>
      </c>
      <c r="H17" s="81">
        <f>F17*G17</f>
        <v>2100</v>
      </c>
      <c r="I17" s="82">
        <v>3</v>
      </c>
      <c r="J17" s="82">
        <v>20</v>
      </c>
      <c r="K17" s="81">
        <f t="shared" ref="K17:K19" si="8">H17*(1-L17)</f>
        <v>1785</v>
      </c>
      <c r="L17" s="83">
        <f t="shared" ref="L17:L19" si="9">IF((I17/J17)&gt;=0.75,0.75,IF((I17/J17)&gt;=0.1,(I17/J17),IF((I17/J17)&lt;=0.1,0.1)))</f>
        <v>0.15</v>
      </c>
      <c r="M17" s="81">
        <f t="shared" ref="M17:M19" si="10">H17-K17</f>
        <v>315</v>
      </c>
      <c r="N17" s="84" t="s">
        <v>46</v>
      </c>
      <c r="O17" s="108" t="s">
        <v>47</v>
      </c>
    </row>
    <row r="18" spans="1:15" s="5" customFormat="1" ht="65" customHeight="1" x14ac:dyDescent="0.2">
      <c r="A18" s="103">
        <v>8</v>
      </c>
      <c r="B18" s="85" t="s">
        <v>33</v>
      </c>
      <c r="C18" s="77">
        <f>2400/150</f>
        <v>16</v>
      </c>
      <c r="D18" s="80">
        <v>150</v>
      </c>
      <c r="E18" s="80">
        <f t="shared" si="7"/>
        <v>2400</v>
      </c>
      <c r="F18" s="77">
        <f>2400/150</f>
        <v>16</v>
      </c>
      <c r="G18" s="80">
        <v>150</v>
      </c>
      <c r="H18" s="80">
        <f t="shared" ref="H18" si="11">F18*G18</f>
        <v>2400</v>
      </c>
      <c r="I18" s="86" t="s">
        <v>45</v>
      </c>
      <c r="J18" s="86" t="s">
        <v>45</v>
      </c>
      <c r="K18" s="81">
        <f t="shared" si="8"/>
        <v>2400</v>
      </c>
      <c r="L18" s="83">
        <v>0</v>
      </c>
      <c r="M18" s="81">
        <f t="shared" si="10"/>
        <v>0</v>
      </c>
      <c r="N18" s="87" t="s">
        <v>45</v>
      </c>
      <c r="O18" s="104" t="s">
        <v>53</v>
      </c>
    </row>
    <row r="19" spans="1:15" s="5" customFormat="1" ht="68" x14ac:dyDescent="0.2">
      <c r="A19" s="107">
        <v>9</v>
      </c>
      <c r="B19" s="78" t="s">
        <v>34</v>
      </c>
      <c r="C19" s="77">
        <v>1</v>
      </c>
      <c r="D19" s="81">
        <v>650</v>
      </c>
      <c r="E19" s="81">
        <f t="shared" si="7"/>
        <v>650</v>
      </c>
      <c r="F19" s="77">
        <v>1</v>
      </c>
      <c r="G19" s="81">
        <v>650</v>
      </c>
      <c r="H19" s="81">
        <f>F19*G19</f>
        <v>650</v>
      </c>
      <c r="I19" s="82">
        <v>3</v>
      </c>
      <c r="J19" s="82">
        <v>20</v>
      </c>
      <c r="K19" s="81">
        <f t="shared" si="8"/>
        <v>552.5</v>
      </c>
      <c r="L19" s="83">
        <f t="shared" si="9"/>
        <v>0.15</v>
      </c>
      <c r="M19" s="81">
        <f t="shared" si="10"/>
        <v>97.5</v>
      </c>
      <c r="N19" s="84" t="s">
        <v>46</v>
      </c>
      <c r="O19" s="108" t="s">
        <v>48</v>
      </c>
    </row>
    <row r="20" spans="1:15" s="5" customFormat="1" ht="68" x14ac:dyDescent="0.2">
      <c r="A20" s="107">
        <v>10</v>
      </c>
      <c r="B20" s="78" t="s">
        <v>35</v>
      </c>
      <c r="C20" s="77">
        <v>1</v>
      </c>
      <c r="D20" s="81">
        <v>450</v>
      </c>
      <c r="E20" s="81">
        <f t="shared" si="0"/>
        <v>450</v>
      </c>
      <c r="F20" s="77">
        <v>1</v>
      </c>
      <c r="G20" s="81">
        <v>450</v>
      </c>
      <c r="H20" s="81">
        <f>F20*G20</f>
        <v>450</v>
      </c>
      <c r="I20" s="82">
        <v>3</v>
      </c>
      <c r="J20" s="82">
        <v>20</v>
      </c>
      <c r="K20" s="81">
        <f t="shared" si="2"/>
        <v>382.5</v>
      </c>
      <c r="L20" s="83">
        <f t="shared" si="4"/>
        <v>0.15</v>
      </c>
      <c r="M20" s="81">
        <f t="shared" si="3"/>
        <v>67.5</v>
      </c>
      <c r="N20" s="84" t="s">
        <v>46</v>
      </c>
      <c r="O20" s="108" t="s">
        <v>49</v>
      </c>
    </row>
    <row r="21" spans="1:15" s="5" customFormat="1" ht="72" customHeight="1" x14ac:dyDescent="0.2">
      <c r="A21" s="103">
        <v>11</v>
      </c>
      <c r="B21" s="85" t="s">
        <v>36</v>
      </c>
      <c r="C21" s="77">
        <v>1</v>
      </c>
      <c r="D21" s="80">
        <v>300</v>
      </c>
      <c r="E21" s="80">
        <f t="shared" si="0"/>
        <v>300</v>
      </c>
      <c r="F21" s="77">
        <v>1</v>
      </c>
      <c r="G21" s="80">
        <v>300</v>
      </c>
      <c r="H21" s="80">
        <f t="shared" ref="H21" si="12">F21*G21</f>
        <v>300</v>
      </c>
      <c r="I21" s="86">
        <v>3</v>
      </c>
      <c r="J21" s="86">
        <v>20</v>
      </c>
      <c r="K21" s="81">
        <f t="shared" si="2"/>
        <v>255</v>
      </c>
      <c r="L21" s="83">
        <f t="shared" si="4"/>
        <v>0.15</v>
      </c>
      <c r="M21" s="81">
        <f t="shared" si="3"/>
        <v>45</v>
      </c>
      <c r="N21" s="87" t="s">
        <v>46</v>
      </c>
      <c r="O21" s="104" t="s">
        <v>54</v>
      </c>
    </row>
    <row r="22" spans="1:15" s="5" customFormat="1" ht="119" x14ac:dyDescent="0.2">
      <c r="A22" s="105">
        <v>12</v>
      </c>
      <c r="B22" s="89" t="s">
        <v>67</v>
      </c>
      <c r="C22" s="88">
        <v>16</v>
      </c>
      <c r="D22" s="90">
        <f>2800/16</f>
        <v>175</v>
      </c>
      <c r="E22" s="90">
        <f t="shared" si="0"/>
        <v>2800</v>
      </c>
      <c r="F22" s="88">
        <f>H22/G22</f>
        <v>14.666666666666666</v>
      </c>
      <c r="G22" s="90">
        <v>150</v>
      </c>
      <c r="H22" s="90">
        <f>2800-600</f>
        <v>2200</v>
      </c>
      <c r="I22" s="91" t="s">
        <v>45</v>
      </c>
      <c r="J22" s="91" t="s">
        <v>45</v>
      </c>
      <c r="K22" s="90">
        <f t="shared" si="2"/>
        <v>2200</v>
      </c>
      <c r="L22" s="92">
        <v>0</v>
      </c>
      <c r="M22" s="90">
        <f t="shared" si="3"/>
        <v>0</v>
      </c>
      <c r="N22" s="93" t="s">
        <v>45</v>
      </c>
      <c r="O22" s="106" t="s">
        <v>73</v>
      </c>
    </row>
    <row r="23" spans="1:15" s="5" customFormat="1" ht="65" customHeight="1" x14ac:dyDescent="0.2">
      <c r="A23" s="105">
        <v>13</v>
      </c>
      <c r="B23" s="89" t="s">
        <v>69</v>
      </c>
      <c r="C23" s="88">
        <v>0</v>
      </c>
      <c r="D23" s="90">
        <v>0</v>
      </c>
      <c r="E23" s="90">
        <f t="shared" ref="E23" si="13">C23*D23</f>
        <v>0</v>
      </c>
      <c r="F23" s="88">
        <v>1</v>
      </c>
      <c r="G23" s="90">
        <v>600</v>
      </c>
      <c r="H23" s="90">
        <f>F23*G23</f>
        <v>600</v>
      </c>
      <c r="I23" s="91">
        <v>3</v>
      </c>
      <c r="J23" s="91">
        <v>20</v>
      </c>
      <c r="K23" s="90">
        <f t="shared" ref="K23" si="14">H23*(1-L23)</f>
        <v>510</v>
      </c>
      <c r="L23" s="92">
        <f t="shared" si="4"/>
        <v>0.15</v>
      </c>
      <c r="M23" s="90">
        <f t="shared" ref="M23" si="15">H23-K23</f>
        <v>90</v>
      </c>
      <c r="N23" s="93" t="s">
        <v>46</v>
      </c>
      <c r="O23" s="106" t="s">
        <v>71</v>
      </c>
    </row>
    <row r="24" spans="1:15" s="5" customFormat="1" ht="119" x14ac:dyDescent="0.2">
      <c r="A24" s="105">
        <v>14</v>
      </c>
      <c r="B24" s="89" t="s">
        <v>68</v>
      </c>
      <c r="C24" s="88">
        <v>16</v>
      </c>
      <c r="D24" s="90">
        <f>4200/16</f>
        <v>262.5</v>
      </c>
      <c r="E24" s="90">
        <f t="shared" ref="E24:E27" si="16">C24*D24</f>
        <v>4200</v>
      </c>
      <c r="F24" s="88">
        <f>H24/G24</f>
        <v>23.333333333333332</v>
      </c>
      <c r="G24" s="90">
        <v>150</v>
      </c>
      <c r="H24" s="90">
        <f>4200-700</f>
        <v>3500</v>
      </c>
      <c r="I24" s="91" t="s">
        <v>45</v>
      </c>
      <c r="J24" s="91" t="s">
        <v>45</v>
      </c>
      <c r="K24" s="90">
        <f t="shared" ref="K24:K27" si="17">H24*(1-L24)</f>
        <v>3500</v>
      </c>
      <c r="L24" s="92">
        <v>0</v>
      </c>
      <c r="M24" s="90">
        <f t="shared" ref="M24:M27" si="18">H24-K24</f>
        <v>0</v>
      </c>
      <c r="N24" s="93" t="s">
        <v>45</v>
      </c>
      <c r="O24" s="106" t="s">
        <v>74</v>
      </c>
    </row>
    <row r="25" spans="1:15" s="5" customFormat="1" ht="79" customHeight="1" x14ac:dyDescent="0.2">
      <c r="A25" s="105">
        <v>15</v>
      </c>
      <c r="B25" s="89" t="s">
        <v>70</v>
      </c>
      <c r="C25" s="88">
        <v>0</v>
      </c>
      <c r="D25" s="90">
        <v>0</v>
      </c>
      <c r="E25" s="90">
        <f t="shared" ref="E25" si="19">C25*D25</f>
        <v>0</v>
      </c>
      <c r="F25" s="88">
        <v>1</v>
      </c>
      <c r="G25" s="90">
        <v>700</v>
      </c>
      <c r="H25" s="90">
        <v>700</v>
      </c>
      <c r="I25" s="91">
        <v>3</v>
      </c>
      <c r="J25" s="91">
        <v>20</v>
      </c>
      <c r="K25" s="90">
        <f t="shared" ref="K25" si="20">H25*(1-L25)</f>
        <v>595</v>
      </c>
      <c r="L25" s="92">
        <f t="shared" si="4"/>
        <v>0.15</v>
      </c>
      <c r="M25" s="90">
        <f t="shared" ref="M25" si="21">H25-K25</f>
        <v>105</v>
      </c>
      <c r="N25" s="93" t="s">
        <v>46</v>
      </c>
      <c r="O25" s="106" t="s">
        <v>72</v>
      </c>
    </row>
    <row r="26" spans="1:15" s="5" customFormat="1" ht="100" customHeight="1" x14ac:dyDescent="0.2">
      <c r="A26" s="103">
        <v>16</v>
      </c>
      <c r="B26" s="85" t="s">
        <v>37</v>
      </c>
      <c r="C26" s="79">
        <v>32</v>
      </c>
      <c r="D26" s="80">
        <f>3200/32</f>
        <v>100</v>
      </c>
      <c r="E26" s="80">
        <f t="shared" si="16"/>
        <v>3200</v>
      </c>
      <c r="F26" s="79">
        <f>H26/G26</f>
        <v>21.333333333333332</v>
      </c>
      <c r="G26" s="80">
        <v>150</v>
      </c>
      <c r="H26" s="80">
        <v>3200</v>
      </c>
      <c r="I26" s="86" t="s">
        <v>45</v>
      </c>
      <c r="J26" s="86" t="s">
        <v>45</v>
      </c>
      <c r="K26" s="81">
        <f t="shared" si="17"/>
        <v>3200</v>
      </c>
      <c r="L26" s="83">
        <v>0</v>
      </c>
      <c r="M26" s="81">
        <f t="shared" si="18"/>
        <v>0</v>
      </c>
      <c r="N26" s="87" t="s">
        <v>45</v>
      </c>
      <c r="O26" s="104" t="s">
        <v>59</v>
      </c>
    </row>
    <row r="27" spans="1:15" s="5" customFormat="1" ht="81" customHeight="1" x14ac:dyDescent="0.2">
      <c r="A27" s="107">
        <v>17</v>
      </c>
      <c r="B27" s="78" t="s">
        <v>38</v>
      </c>
      <c r="C27" s="79">
        <v>1</v>
      </c>
      <c r="D27" s="80">
        <v>2500</v>
      </c>
      <c r="E27" s="81">
        <f t="shared" si="16"/>
        <v>2500</v>
      </c>
      <c r="F27" s="79">
        <f>H27/G27</f>
        <v>16.666666666666668</v>
      </c>
      <c r="G27" s="80">
        <v>150</v>
      </c>
      <c r="H27" s="81">
        <v>2500</v>
      </c>
      <c r="I27" s="82" t="s">
        <v>45</v>
      </c>
      <c r="J27" s="82" t="s">
        <v>45</v>
      </c>
      <c r="K27" s="81">
        <f t="shared" si="17"/>
        <v>2500</v>
      </c>
      <c r="L27" s="83">
        <v>0</v>
      </c>
      <c r="M27" s="81">
        <f t="shared" si="18"/>
        <v>0</v>
      </c>
      <c r="N27" s="84" t="s">
        <v>45</v>
      </c>
      <c r="O27" s="108" t="s">
        <v>60</v>
      </c>
    </row>
    <row r="28" spans="1:15" s="5" customFormat="1" ht="68" x14ac:dyDescent="0.2">
      <c r="A28" s="107">
        <v>18</v>
      </c>
      <c r="B28" s="78" t="s">
        <v>39</v>
      </c>
      <c r="C28" s="77">
        <v>1</v>
      </c>
      <c r="D28" s="81">
        <v>1800</v>
      </c>
      <c r="E28" s="81">
        <f t="shared" si="0"/>
        <v>1800</v>
      </c>
      <c r="F28" s="77">
        <f>H28/G28</f>
        <v>12</v>
      </c>
      <c r="G28" s="81">
        <v>150</v>
      </c>
      <c r="H28" s="81">
        <v>1800</v>
      </c>
      <c r="I28" s="82" t="s">
        <v>45</v>
      </c>
      <c r="J28" s="82" t="s">
        <v>45</v>
      </c>
      <c r="K28" s="81">
        <f t="shared" si="2"/>
        <v>1800</v>
      </c>
      <c r="L28" s="83">
        <v>0</v>
      </c>
      <c r="M28" s="81">
        <f t="shared" si="3"/>
        <v>0</v>
      </c>
      <c r="N28" s="84" t="s">
        <v>45</v>
      </c>
      <c r="O28" s="108" t="s">
        <v>50</v>
      </c>
    </row>
    <row r="29" spans="1:15" s="5" customFormat="1" ht="102" x14ac:dyDescent="0.2">
      <c r="A29" s="103">
        <v>19</v>
      </c>
      <c r="B29" s="78" t="s">
        <v>40</v>
      </c>
      <c r="C29" s="77">
        <v>1</v>
      </c>
      <c r="D29" s="80">
        <v>1200</v>
      </c>
      <c r="E29" s="80">
        <f t="shared" si="0"/>
        <v>1200</v>
      </c>
      <c r="F29" s="77">
        <f>H29/G29</f>
        <v>8</v>
      </c>
      <c r="G29" s="80">
        <v>150</v>
      </c>
      <c r="H29" s="80">
        <v>1200</v>
      </c>
      <c r="I29" s="86" t="s">
        <v>45</v>
      </c>
      <c r="J29" s="86" t="s">
        <v>45</v>
      </c>
      <c r="K29" s="81">
        <f t="shared" si="2"/>
        <v>1200</v>
      </c>
      <c r="L29" s="83">
        <v>0</v>
      </c>
      <c r="M29" s="81">
        <f t="shared" si="3"/>
        <v>0</v>
      </c>
      <c r="N29" s="87" t="s">
        <v>45</v>
      </c>
      <c r="O29" s="104" t="s">
        <v>61</v>
      </c>
    </row>
    <row r="30" spans="1:15" s="5" customFormat="1" ht="85" x14ac:dyDescent="0.2">
      <c r="A30" s="107">
        <v>20</v>
      </c>
      <c r="B30" s="78" t="s">
        <v>41</v>
      </c>
      <c r="C30" s="77">
        <v>1</v>
      </c>
      <c r="D30" s="81">
        <v>1400</v>
      </c>
      <c r="E30" s="81">
        <f t="shared" si="0"/>
        <v>1400</v>
      </c>
      <c r="F30" s="77">
        <f>H30/G30</f>
        <v>9.3333333333333339</v>
      </c>
      <c r="G30" s="81">
        <v>150</v>
      </c>
      <c r="H30" s="81">
        <v>1400</v>
      </c>
      <c r="I30" s="82" t="s">
        <v>45</v>
      </c>
      <c r="J30" s="82" t="s">
        <v>45</v>
      </c>
      <c r="K30" s="81">
        <f t="shared" si="2"/>
        <v>1400</v>
      </c>
      <c r="L30" s="83">
        <v>0</v>
      </c>
      <c r="M30" s="81">
        <f t="shared" si="3"/>
        <v>0</v>
      </c>
      <c r="N30" s="84" t="s">
        <v>45</v>
      </c>
      <c r="O30" s="108" t="s">
        <v>55</v>
      </c>
    </row>
    <row r="31" spans="1:15" s="5" customFormat="1" ht="85" x14ac:dyDescent="0.2">
      <c r="A31" s="103">
        <v>21</v>
      </c>
      <c r="B31" s="78" t="s">
        <v>42</v>
      </c>
      <c r="C31" s="77">
        <v>1</v>
      </c>
      <c r="D31" s="80">
        <v>900</v>
      </c>
      <c r="E31" s="80">
        <f t="shared" ref="E31:E32" si="22">C31*D31</f>
        <v>900</v>
      </c>
      <c r="F31" s="77">
        <f>H31/G31</f>
        <v>6</v>
      </c>
      <c r="G31" s="80">
        <v>150</v>
      </c>
      <c r="H31" s="80">
        <v>900</v>
      </c>
      <c r="I31" s="86" t="s">
        <v>45</v>
      </c>
      <c r="J31" s="86" t="s">
        <v>45</v>
      </c>
      <c r="K31" s="81">
        <f t="shared" ref="K31:K32" si="23">H31*(1-L31)</f>
        <v>900</v>
      </c>
      <c r="L31" s="83">
        <v>0</v>
      </c>
      <c r="M31" s="81">
        <f t="shared" ref="M31:M32" si="24">H31-K31</f>
        <v>0</v>
      </c>
      <c r="N31" s="87" t="s">
        <v>45</v>
      </c>
      <c r="O31" s="104" t="s">
        <v>56</v>
      </c>
    </row>
    <row r="32" spans="1:15" s="5" customFormat="1" ht="98" customHeight="1" x14ac:dyDescent="0.2">
      <c r="A32" s="107">
        <v>22</v>
      </c>
      <c r="B32" s="78" t="s">
        <v>43</v>
      </c>
      <c r="C32" s="77">
        <v>1</v>
      </c>
      <c r="D32" s="81">
        <v>1600</v>
      </c>
      <c r="E32" s="81">
        <f t="shared" si="22"/>
        <v>1600</v>
      </c>
      <c r="F32" s="77">
        <f>H32/G32</f>
        <v>10.666666666666666</v>
      </c>
      <c r="G32" s="81">
        <v>150</v>
      </c>
      <c r="H32" s="81">
        <v>1600</v>
      </c>
      <c r="I32" s="82" t="s">
        <v>45</v>
      </c>
      <c r="J32" s="82" t="s">
        <v>45</v>
      </c>
      <c r="K32" s="81">
        <f t="shared" si="23"/>
        <v>1600</v>
      </c>
      <c r="L32" s="83">
        <v>0</v>
      </c>
      <c r="M32" s="81">
        <f t="shared" si="24"/>
        <v>0</v>
      </c>
      <c r="N32" s="84" t="s">
        <v>45</v>
      </c>
      <c r="O32" s="108" t="s">
        <v>62</v>
      </c>
    </row>
    <row r="33" spans="1:15" s="5" customFormat="1" ht="74" customHeight="1" thickBot="1" x14ac:dyDescent="0.25">
      <c r="A33" s="109">
        <v>23</v>
      </c>
      <c r="B33" s="110" t="s">
        <v>44</v>
      </c>
      <c r="C33" s="111">
        <v>1</v>
      </c>
      <c r="D33" s="112">
        <v>1959</v>
      </c>
      <c r="E33" s="112">
        <f t="shared" si="0"/>
        <v>1959</v>
      </c>
      <c r="F33" s="111">
        <v>1</v>
      </c>
      <c r="G33" s="112">
        <v>1959</v>
      </c>
      <c r="H33" s="112">
        <f t="shared" ref="H33" si="25">F33*G33</f>
        <v>1959</v>
      </c>
      <c r="I33" s="113" t="s">
        <v>45</v>
      </c>
      <c r="J33" s="113" t="s">
        <v>45</v>
      </c>
      <c r="K33" s="114">
        <f t="shared" si="2"/>
        <v>1959</v>
      </c>
      <c r="L33" s="115">
        <v>0</v>
      </c>
      <c r="M33" s="114">
        <f t="shared" si="3"/>
        <v>0</v>
      </c>
      <c r="N33" s="116" t="s">
        <v>45</v>
      </c>
      <c r="O33" s="117" t="s">
        <v>51</v>
      </c>
    </row>
    <row r="34" spans="1:15" s="5" customFormat="1" ht="18" customHeight="1" thickBot="1" x14ac:dyDescent="0.25">
      <c r="A34" s="62" t="s">
        <v>15</v>
      </c>
      <c r="B34" s="63"/>
      <c r="C34" s="63"/>
      <c r="D34" s="64"/>
      <c r="E34" s="74">
        <f>SUM(E11:E33)</f>
        <v>43459</v>
      </c>
      <c r="F34" s="14"/>
      <c r="G34" s="15"/>
      <c r="H34" s="71">
        <f>SUM(H11:H33)</f>
        <v>40175.5</v>
      </c>
      <c r="I34" s="65"/>
      <c r="J34" s="66"/>
      <c r="K34" s="16">
        <f>SUM(K11:K33)</f>
        <v>38898.025000000001</v>
      </c>
      <c r="L34" s="16"/>
      <c r="M34" s="16">
        <f>SUM(M11:M33)</f>
        <v>1277.4749999999999</v>
      </c>
      <c r="N34"/>
    </row>
    <row r="35" spans="1:15" s="5" customFormat="1" ht="18" customHeight="1" x14ac:dyDescent="0.2">
      <c r="A35" s="54" t="s">
        <v>16</v>
      </c>
      <c r="B35" s="55"/>
      <c r="C35" s="55"/>
      <c r="D35" s="56"/>
      <c r="E35" s="72">
        <v>0</v>
      </c>
      <c r="F35" s="17"/>
      <c r="G35" s="18"/>
      <c r="H35" s="72">
        <v>0</v>
      </c>
      <c r="I35" s="69"/>
      <c r="J35" s="70"/>
      <c r="K35" s="19">
        <v>0</v>
      </c>
      <c r="L35" s="19"/>
      <c r="M35" s="19">
        <v>0</v>
      </c>
      <c r="N35"/>
    </row>
    <row r="36" spans="1:15" s="5" customFormat="1" ht="18" customHeight="1" thickBot="1" x14ac:dyDescent="0.25">
      <c r="A36" s="54" t="s">
        <v>14</v>
      </c>
      <c r="B36" s="55"/>
      <c r="C36" s="55"/>
      <c r="D36" s="56"/>
      <c r="E36" s="73">
        <f>SUM(E34:E35)</f>
        <v>43459</v>
      </c>
      <c r="F36" s="20"/>
      <c r="G36" s="21"/>
      <c r="H36" s="73">
        <f>SUM(H34,H35)</f>
        <v>40175.5</v>
      </c>
      <c r="I36" s="67"/>
      <c r="J36" s="68"/>
      <c r="K36" s="22">
        <f>SUM(K34:K35)</f>
        <v>38898.025000000001</v>
      </c>
      <c r="L36" s="22"/>
      <c r="M36" s="22">
        <f>SUM(M34:M35)</f>
        <v>1277.4749999999999</v>
      </c>
      <c r="N36"/>
    </row>
    <row r="37" spans="1:15" ht="12.75" customHeight="1" x14ac:dyDescent="0.2">
      <c r="A37" s="61"/>
      <c r="B37" s="61"/>
      <c r="C37" s="1"/>
      <c r="D37" s="1"/>
      <c r="E37" s="1"/>
      <c r="F37" s="1"/>
      <c r="G37" s="1"/>
      <c r="H37" s="1"/>
      <c r="I37" s="1"/>
      <c r="J37" s="1"/>
      <c r="K37" s="1"/>
      <c r="L37" s="1"/>
      <c r="M37" s="1"/>
      <c r="N37" s="1"/>
    </row>
    <row r="39" spans="1:15" x14ac:dyDescent="0.2">
      <c r="B39" s="24" t="s">
        <v>17</v>
      </c>
      <c r="C39" s="25"/>
      <c r="D39" s="26"/>
      <c r="E39" s="75">
        <f>E36</f>
        <v>43459</v>
      </c>
    </row>
    <row r="40" spans="1:15" x14ac:dyDescent="0.2">
      <c r="B40" s="27"/>
      <c r="C40" s="28"/>
      <c r="D40" s="29"/>
      <c r="E40" s="76"/>
      <c r="G40" s="23"/>
    </row>
    <row r="42" spans="1:15" x14ac:dyDescent="0.2">
      <c r="B42" s="24" t="s">
        <v>18</v>
      </c>
      <c r="C42" s="25"/>
      <c r="D42" s="26"/>
      <c r="E42" s="75">
        <f>H36</f>
        <v>40175.5</v>
      </c>
    </row>
    <row r="43" spans="1:15" x14ac:dyDescent="0.2">
      <c r="B43" s="27"/>
      <c r="C43" s="28"/>
      <c r="D43" s="29"/>
      <c r="E43" s="76"/>
    </row>
    <row r="45" spans="1:15" x14ac:dyDescent="0.2">
      <c r="B45" s="24" t="s">
        <v>19</v>
      </c>
      <c r="C45" s="25"/>
      <c r="D45" s="26"/>
      <c r="E45" s="30">
        <f>K36</f>
        <v>38898.025000000001</v>
      </c>
    </row>
    <row r="46" spans="1:15" x14ac:dyDescent="0.2">
      <c r="B46" s="27"/>
      <c r="C46" s="28"/>
      <c r="D46" s="29"/>
      <c r="E46" s="44"/>
      <c r="I46" s="8"/>
      <c r="J46" s="8"/>
      <c r="K46" s="8"/>
      <c r="L46" s="8"/>
    </row>
    <row r="47" spans="1:15" x14ac:dyDescent="0.2">
      <c r="I47" s="8"/>
      <c r="J47" s="8"/>
      <c r="K47" s="8"/>
      <c r="L47" s="8"/>
    </row>
    <row r="48" spans="1:15" x14ac:dyDescent="0.2">
      <c r="B48" s="24" t="s">
        <v>20</v>
      </c>
      <c r="C48" s="25"/>
      <c r="D48" s="26"/>
      <c r="E48" s="30">
        <f>M36</f>
        <v>1277.4749999999999</v>
      </c>
    </row>
    <row r="49" spans="2:5" x14ac:dyDescent="0.2">
      <c r="B49" s="27"/>
      <c r="C49" s="28"/>
      <c r="D49" s="29"/>
      <c r="E49" s="31"/>
    </row>
  </sheetData>
  <mergeCells count="33">
    <mergeCell ref="A35:D35"/>
    <mergeCell ref="I35:J35"/>
    <mergeCell ref="A36:D36"/>
    <mergeCell ref="I36:J36"/>
    <mergeCell ref="G4:H5"/>
    <mergeCell ref="A37:B37"/>
    <mergeCell ref="F9:H9"/>
    <mergeCell ref="A9:A10"/>
    <mergeCell ref="A8:O8"/>
    <mergeCell ref="C9:E9"/>
    <mergeCell ref="B9:B10"/>
    <mergeCell ref="A34:D34"/>
    <mergeCell ref="I34:J34"/>
    <mergeCell ref="L9:L10"/>
    <mergeCell ref="O9:O10"/>
    <mergeCell ref="I9:I10"/>
    <mergeCell ref="J9:J10"/>
    <mergeCell ref="K9:K10"/>
    <mergeCell ref="M9:M10"/>
    <mergeCell ref="N9:N10"/>
    <mergeCell ref="B45:D46"/>
    <mergeCell ref="E45:E46"/>
    <mergeCell ref="A1:E1"/>
    <mergeCell ref="A2:E2"/>
    <mergeCell ref="A3:E3"/>
    <mergeCell ref="A4:E4"/>
    <mergeCell ref="A5:E5"/>
    <mergeCell ref="E39:E40"/>
    <mergeCell ref="E42:E43"/>
    <mergeCell ref="B48:D49"/>
    <mergeCell ref="E48:E49"/>
    <mergeCell ref="B39:D40"/>
    <mergeCell ref="B42:D43"/>
  </mergeCells>
  <phoneticPr fontId="1" type="noConversion"/>
  <pageMargins left="0.25" right="0.25" top="0.75" bottom="0.75" header="0.3" footer="0.3"/>
  <pageSetup scale="55" fitToHeight="20" orientation="landscape" horizontalDpi="300" verticalDpi="1200" r:id="rId1"/>
  <headerFooter alignWithMargins="0">
    <oddFooter>&amp;C&amp;"Times New Roman,Regular"Page &amp;P of &amp;N
© 2022 by Loss Solutions Group, LLC. All rights reserved.</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3" x14ac:dyDescent="0.15"/>
  <sheetData/>
  <phoneticPr fontId="1" type="noConversion"/>
  <pageMargins left="0.75" right="0.75" top="1" bottom="1" header="0.5" footer="0.5"/>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3" x14ac:dyDescent="0.15"/>
  <sheetData/>
  <phoneticPr fontId="1" type="noConversion"/>
  <pageMargins left="0.75" right="0.75" top="1" bottom="1" header="0.5" footer="0.5"/>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Loss Solutions Group</dc:creator>
  <cp:keywords/>
  <dc:description/>
  <cp:lastModifiedBy>Emma Muhleman</cp:lastModifiedBy>
  <cp:revision/>
  <dcterms:created xsi:type="dcterms:W3CDTF">2007-08-27T01:37:34Z</dcterms:created>
  <dcterms:modified xsi:type="dcterms:W3CDTF">2026-02-23T21:43:01Z</dcterms:modified>
  <cp:category/>
  <cp:contentStatus/>
</cp:coreProperties>
</file>