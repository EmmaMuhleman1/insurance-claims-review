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Spare Time Inc (#2)/"/>
    </mc:Choice>
  </mc:AlternateContent>
  <xr:revisionPtr revIDLastSave="0" documentId="13_ncr:1_{949A0828-A71A-BF4D-A0CF-50E53EE5E794}" xr6:coauthVersionLast="47" xr6:coauthVersionMax="47" xr10:uidLastSave="{00000000-0000-0000-0000-000000000000}"/>
  <bookViews>
    <workbookView xWindow="6240" yWindow="262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5" i="1" l="1"/>
  <c r="E56" i="1"/>
  <c r="L16" i="1"/>
  <c r="H16" i="1"/>
  <c r="E16" i="1"/>
  <c r="L15" i="1"/>
  <c r="H15" i="1"/>
  <c r="E15" i="1"/>
  <c r="L14" i="1"/>
  <c r="H14" i="1"/>
  <c r="E14" i="1"/>
  <c r="L17" i="1"/>
  <c r="H17" i="1"/>
  <c r="E17" i="1"/>
  <c r="L32" i="1"/>
  <c r="H32" i="1"/>
  <c r="E32" i="1"/>
  <c r="H38" i="1"/>
  <c r="E38" i="1"/>
  <c r="H37" i="1"/>
  <c r="E37" i="1"/>
  <c r="L36" i="1"/>
  <c r="H36" i="1"/>
  <c r="E36" i="1"/>
  <c r="L35" i="1"/>
  <c r="H35" i="1"/>
  <c r="E35" i="1"/>
  <c r="L34" i="1"/>
  <c r="H34" i="1"/>
  <c r="E34" i="1"/>
  <c r="L33" i="1"/>
  <c r="H33" i="1"/>
  <c r="E33" i="1"/>
  <c r="L31" i="1"/>
  <c r="H31" i="1"/>
  <c r="E31" i="1"/>
  <c r="H30" i="1"/>
  <c r="E30" i="1"/>
  <c r="K31" i="1" l="1"/>
  <c r="M31" i="1" s="1"/>
  <c r="K16" i="1"/>
  <c r="M16" i="1" s="1"/>
  <c r="K15" i="1"/>
  <c r="M15" i="1" s="1"/>
  <c r="K14" i="1"/>
  <c r="M14" i="1" s="1"/>
  <c r="K35" i="1"/>
  <c r="M35" i="1" s="1"/>
  <c r="K17" i="1"/>
  <c r="M17" i="1" s="1"/>
  <c r="K34" i="1"/>
  <c r="M34" i="1" s="1"/>
  <c r="K36" i="1"/>
  <c r="M36" i="1" s="1"/>
  <c r="K30" i="1"/>
  <c r="K38" i="1"/>
  <c r="M38" i="1" s="1"/>
  <c r="K32" i="1"/>
  <c r="M32" i="1" s="1"/>
  <c r="E39" i="1"/>
  <c r="E41" i="1" s="1"/>
  <c r="H39" i="1"/>
  <c r="H41" i="1" s="1"/>
  <c r="E59" i="1" s="1"/>
  <c r="K33" i="1"/>
  <c r="M33" i="1" s="1"/>
  <c r="K37" i="1"/>
  <c r="M37" i="1" s="1"/>
  <c r="H11" i="1"/>
  <c r="L48" i="1"/>
  <c r="H47" i="1"/>
  <c r="L12" i="1"/>
  <c r="L13" i="1"/>
  <c r="E19" i="1"/>
  <c r="H19" i="1"/>
  <c r="E21" i="1"/>
  <c r="H21" i="1"/>
  <c r="E18" i="1"/>
  <c r="H18" i="1"/>
  <c r="E20" i="1"/>
  <c r="H20" i="1"/>
  <c r="E13" i="1"/>
  <c r="H13" i="1"/>
  <c r="E49" i="1"/>
  <c r="H49" i="1"/>
  <c r="E50" i="1"/>
  <c r="H50" i="1"/>
  <c r="E11" i="1"/>
  <c r="K39" i="1" l="1"/>
  <c r="K41" i="1" s="1"/>
  <c r="M30" i="1"/>
  <c r="M39" i="1" s="1"/>
  <c r="M41" i="1" s="1"/>
  <c r="K47" i="1"/>
  <c r="K21" i="1"/>
  <c r="M21" i="1" s="1"/>
  <c r="K19" i="1"/>
  <c r="M19" i="1" s="1"/>
  <c r="K49" i="1"/>
  <c r="M49" i="1" s="1"/>
  <c r="K50" i="1"/>
  <c r="M50" i="1" s="1"/>
  <c r="K13" i="1"/>
  <c r="M13" i="1" s="1"/>
  <c r="K20" i="1"/>
  <c r="M20" i="1" s="1"/>
  <c r="K18" i="1"/>
  <c r="M18" i="1" s="1"/>
  <c r="K11" i="1"/>
  <c r="E48" i="1" l="1"/>
  <c r="H48" i="1"/>
  <c r="K48" i="1" s="1"/>
  <c r="E12" i="1"/>
  <c r="H12" i="1"/>
  <c r="K12" i="1" s="1"/>
  <c r="M48" i="1" l="1"/>
  <c r="E22" i="1"/>
  <c r="E24" i="1" s="1"/>
  <c r="M12" i="1"/>
  <c r="E47" i="1"/>
  <c r="H51" i="1" l="1"/>
  <c r="H53" i="1" s="1"/>
  <c r="H22" i="1"/>
  <c r="H24" i="1" s="1"/>
  <c r="E51" i="1"/>
  <c r="E53" i="1" s="1"/>
  <c r="K22" i="1"/>
  <c r="K24" i="1" s="1"/>
  <c r="K51" i="1" l="1"/>
  <c r="K53" i="1" s="1"/>
  <c r="E62" i="1" s="1"/>
  <c r="M47" i="1"/>
  <c r="M51" i="1" s="1"/>
  <c r="M53" i="1" s="1"/>
  <c r="M11" i="1"/>
  <c r="M22" i="1" s="1"/>
  <c r="M24" i="1" s="1"/>
</calcChain>
</file>

<file path=xl/sharedStrings.xml><?xml version="1.0" encoding="utf-8"?>
<sst xmlns="http://schemas.openxmlformats.org/spreadsheetml/2006/main" count="166" uniqueCount="78">
  <si>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</si>
  <si>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</si>
  <si>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</si>
  <si>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</si>
  <si>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</si>
  <si>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</si>
  <si>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</si>
  <si>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</si>
  <si>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</si>
  <si>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</si>
  <si>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</si>
  <si>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</si>
  <si>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</si>
  <si>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</si>
  <si>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</si>
  <si>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</si>
  <si>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</si>
  <si>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</si>
  <si>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</si>
  <si>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</si>
  <si>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SPARE TIME INC.</t>
  </si>
  <si>
    <t xml:space="preserve">LSG MATTER #: 426600.4163-00 </t>
  </si>
  <si>
    <t>CLAIM #: 85-00900748</t>
  </si>
  <si>
    <t>DATE OF LOSS: 12/26/2025</t>
  </si>
  <si>
    <t>CAUSE OF LOSS: VANDALISM / THEFT</t>
  </si>
  <si>
    <t>DEMO AND REPLACE AMERICAN STANDARD BRAND 10 TON UNIT WITH A BRYANT BRAND 10 TON RTU</t>
  </si>
  <si>
    <t>10 TON ROOFTOP UNIT (BRYANT)</t>
  </si>
  <si>
    <t>CRANE</t>
  </si>
  <si>
    <t>LABOR</t>
  </si>
  <si>
    <t>TRUCK CHARGE</t>
  </si>
  <si>
    <t>MISC. COPPER, PVC, ELECTRICAL.</t>
  </si>
  <si>
    <t>RECYCLING / DISPOSAL CHARGE</t>
  </si>
  <si>
    <t>REPAIR AC 1C</t>
  </si>
  <si>
    <t>COMPRESSORS</t>
  </si>
  <si>
    <t>SUCTION LINE PIPING</t>
  </si>
  <si>
    <t>REPAIR DISCHARGE LIQUID LINE PIPING</t>
  </si>
  <si>
    <t>REFRIGERANT FLUSH (RX-11)</t>
  </si>
  <si>
    <t>LABOR HOURS</t>
  </si>
  <si>
    <t>REPLACE BACKFLOW STEMS</t>
  </si>
  <si>
    <t>REPLACE STOLEN BRAS STEMS WITH STAINLESS STEEL</t>
  </si>
  <si>
    <t>LABOR COSTS</t>
  </si>
  <si>
    <t>COMPRESSOR ELECTRICAL HARNES</t>
  </si>
  <si>
    <t>HARNESS FOR 12AWG TRANE BRANDED COMPRESSOR.</t>
  </si>
  <si>
    <t>NEW FILTER LINE DRYERS</t>
  </si>
  <si>
    <t>WORK TRUCK CHARGE PER TECHNICIAN</t>
  </si>
  <si>
    <t>N/A</t>
  </si>
  <si>
    <t>AVERAGE</t>
  </si>
  <si>
    <t xml:space="preserve">THE USE OF A CRANE FOR ONE DAY. TO LIFT OUT THE OLD UNIT AND LIFT IN THE NEW UNIT. </t>
  </si>
  <si>
    <t xml:space="preserve">NEW DISCONNECTS, FUSES, CONDUIT, BREAKERS. </t>
  </si>
  <si>
    <t>RECONNECT WIRING AND THERMOSTAT</t>
  </si>
  <si>
    <t>NEW CONDENSATE PIPING</t>
  </si>
  <si>
    <t xml:space="preserve">HVAC CURB FOR THE NEW UNIT TO SIT ON AND DUCTWORK ADAPTERS TO TIE INTO EXISTING DUCTWORK. </t>
  </si>
  <si>
    <t xml:space="preserve">NEW PVC CONDENSATION PIPING. </t>
  </si>
  <si>
    <t xml:space="preserve">RECONNECTING TO WIRING AND THERMOSTAT WIRING. </t>
  </si>
  <si>
    <t>FOUR TECHNICIANS FOR ONE 10 HOUR WORK DAY.</t>
  </si>
  <si>
    <t xml:space="preserve">REPAIRS TO SUCTION LINE PIPING. </t>
  </si>
  <si>
    <t xml:space="preserve">REPAIRS TO DISCHARGE LINE PIPING. </t>
  </si>
  <si>
    <t xml:space="preserve">REFRIGERANT FLUSHING KIT TO REMOVE NON-CONDENSABLES. </t>
  </si>
  <si>
    <t xml:space="preserve">LABOR HOURS FOR ONE TECHNICIAN FOR ONE DAY OF WORK. </t>
  </si>
  <si>
    <t xml:space="preserve">TWO LIQUID LINE FILTER DRYERS. </t>
  </si>
  <si>
    <t xml:space="preserve">REPAIRS TO 1-C. THIS COST WAS GIVEN TO US IN A LUMP SUM COST. WITH HELP FROM THE VENDOR WE WERE ABLE TO BREAK THIS COST DOWN AS FOLLOWS. </t>
  </si>
  <si>
    <t>IRON MECHANICAL (916-347-6292) ESTIMATE # 1008251658 (REPAIR TO RTU 1-C)</t>
  </si>
  <si>
    <t>IRON MECHANICAL (916-347-6292) ESTIMATE # 26-SP-008 (REPLACEMENT OF RTU 1-E)</t>
  </si>
  <si>
    <t>IRON MECHANICAL (916-347-6292) ESTIMATE # 1008251689 (BACKFLOW REPAIR)</t>
  </si>
  <si>
    <t xml:space="preserve">THIS COST WAS GIVEN TO US IN A LUMP SUM TOTAL. WITH HELP FROM THE VENDOR WE WERE ABLE TO BREAK THIS COST DOWN AS FOLLOWS. </t>
  </si>
  <si>
    <t xml:space="preserve">STAINLESS STEEL STEMS ON 8" FEBCO BACKFLOW UNIT. WITH ADDED VENDOR MARK UP ON MATERIALS. </t>
  </si>
  <si>
    <t>TWO PLUMBERS FOR ONE EXTENDED DAY OF WORK.</t>
  </si>
  <si>
    <t>PERMITS AND TESTING.</t>
  </si>
  <si>
    <t>TESTING / PERMITS FOR GOLDEN STATE WATER</t>
  </si>
  <si>
    <t xml:space="preserve">460 VOLT 3 PHASE FOR A 10 TON TRANE PACKAGED UNIT. SCROLL COMPRESSOR. WITH VENDOR MARK UP ON MATERIALS. </t>
  </si>
  <si>
    <t>DEMO AND REPLACE RTU # 1E (AMERICAN STANDARD BRAND 10 TON)</t>
  </si>
  <si>
    <t xml:space="preserve">ONE REPLACEMENT BRYANT BRAND 10 TON RTU'S. GAS HEAT ELECTRIC COOLING. WITH AN ADDED VENDOR MARK UP ON MATERIALS. </t>
  </si>
  <si>
    <t xml:space="preserve">PVC PIPING, COPPER PIPING, COPPER CONNECTIONS, BRAZING MATERIALS, NITROGEN GAS, ETC. </t>
  </si>
  <si>
    <t xml:space="preserve">HIGH VOLTAGE ELECTRICAL EQUIPMENT. </t>
  </si>
  <si>
    <t xml:space="preserve">DISPOSAL AND RECYCLING OF THE DISMANTLED UNIT. </t>
  </si>
  <si>
    <t>REFRIGERANT (407A) REPLACEMENT</t>
  </si>
  <si>
    <t>ROUGHLY FIFTEEN POUNDS OF R407A REFRIGERANT</t>
  </si>
  <si>
    <t xml:space="preserve">CURB AND AND DUCT ADAPTERS.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</si>
</sst>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26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0" fontId="7" fillId="2" borderId="16" xfId="1" applyNumberFormat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44" fontId="7" fillId="0" borderId="17" xfId="1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left" wrapText="1"/>
    </xf>
    <xf numFmtId="0" fontId="7" fillId="2" borderId="17" xfId="0" applyFont="1" applyFill="1" applyBorder="1" applyAlignment="1">
      <alignment horizontal="center"/>
    </xf>
    <xf numFmtId="0" fontId="7" fillId="0" borderId="17" xfId="1" applyNumberFormat="1" applyFont="1" applyFill="1" applyBorder="1" applyAlignment="1">
      <alignment horizontal="center"/>
    </xf>
    <xf numFmtId="44" fontId="7" fillId="2" borderId="17" xfId="1" applyFont="1" applyFill="1" applyBorder="1" applyAlignment="1">
      <alignment horizontal="center"/>
    </xf>
    <xf numFmtId="9" fontId="7" fillId="2" borderId="17" xfId="6" applyFont="1" applyFill="1" applyBorder="1" applyAlignment="1">
      <alignment horizontal="center"/>
    </xf>
    <xf numFmtId="0" fontId="7" fillId="0" borderId="17" xfId="1" applyNumberFormat="1" applyFont="1" applyFill="1" applyBorder="1" applyAlignment="1">
      <alignment horizontal="center" wrapText="1"/>
    </xf>
    <xf numFmtId="0" fontId="7" fillId="0" borderId="19" xfId="0" applyFont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left" wrapText="1"/>
    </xf>
    <xf numFmtId="0" fontId="7" fillId="2" borderId="17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2" borderId="17" xfId="1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horizontal="center"/>
    </xf>
    <xf numFmtId="44" fontId="7" fillId="2" borderId="21" xfId="1" applyFont="1" applyFill="1" applyBorder="1" applyAlignment="1">
      <alignment horizontal="center"/>
    </xf>
    <xf numFmtId="0" fontId="7" fillId="2" borderId="21" xfId="1" applyNumberFormat="1" applyFont="1" applyFill="1" applyBorder="1" applyAlignment="1">
      <alignment horizontal="center"/>
    </xf>
    <xf numFmtId="9" fontId="7" fillId="2" borderId="21" xfId="6" applyFont="1" applyFill="1" applyBorder="1" applyAlignment="1">
      <alignment horizontal="center"/>
    </xf>
    <xf numFmtId="0" fontId="7" fillId="2" borderId="21" xfId="1" applyNumberFormat="1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left" wrapText="1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left" wrapText="1"/>
    </xf>
    <xf numFmtId="0" fontId="7" fillId="2" borderId="24" xfId="0" applyFont="1" applyFill="1" applyBorder="1" applyAlignment="1">
      <alignment horizontal="center"/>
    </xf>
    <xf numFmtId="44" fontId="7" fillId="0" borderId="24" xfId="1" applyFont="1" applyFill="1" applyBorder="1" applyAlignment="1">
      <alignment horizontal="center"/>
    </xf>
    <xf numFmtId="0" fontId="7" fillId="0" borderId="24" xfId="1" applyNumberFormat="1" applyFont="1" applyFill="1" applyBorder="1" applyAlignment="1">
      <alignment horizontal="center"/>
    </xf>
    <xf numFmtId="44" fontId="7" fillId="2" borderId="24" xfId="1" applyFont="1" applyFill="1" applyBorder="1" applyAlignment="1">
      <alignment horizontal="center"/>
    </xf>
    <xf numFmtId="9" fontId="7" fillId="2" borderId="24" xfId="6" applyFont="1" applyFill="1" applyBorder="1" applyAlignment="1">
      <alignment horizontal="center"/>
    </xf>
    <xf numFmtId="0" fontId="7" fillId="0" borderId="24" xfId="1" applyNumberFormat="1" applyFont="1" applyFill="1" applyBorder="1" applyAlignment="1">
      <alignment horizontal="center" wrapText="1"/>
    </xf>
    <xf numFmtId="0" fontId="7" fillId="0" borderId="25" xfId="0" applyFont="1" applyBorder="1" applyAlignment="1">
      <alignment horizontal="left" wrapText="1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left" wrapText="1"/>
    </xf>
    <xf numFmtId="0" fontId="7" fillId="2" borderId="27" xfId="0" applyFont="1" applyFill="1" applyBorder="1" applyAlignment="1">
      <alignment horizontal="center"/>
    </xf>
    <xf numFmtId="44" fontId="7" fillId="2" borderId="27" xfId="1" applyFont="1" applyFill="1" applyBorder="1" applyAlignment="1">
      <alignment horizontal="center"/>
    </xf>
    <xf numFmtId="0" fontId="7" fillId="2" borderId="27" xfId="1" applyNumberFormat="1" applyFont="1" applyFill="1" applyBorder="1" applyAlignment="1">
      <alignment horizontal="center"/>
    </xf>
    <xf numFmtId="9" fontId="7" fillId="2" borderId="27" xfId="6" applyFont="1" applyFill="1" applyBorder="1" applyAlignment="1">
      <alignment horizontal="center"/>
    </xf>
    <xf numFmtId="0" fontId="7" fillId="2" borderId="27" xfId="1" applyNumberFormat="1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left" wrapText="1"/>
    </xf>
    <xf numFmtId="0" fontId="7" fillId="2" borderId="2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left" wrapText="1"/>
    </xf>
    <xf numFmtId="0" fontId="7" fillId="2" borderId="31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left" wrapText="1"/>
    </xf>
    <xf numFmtId="0" fontId="7" fillId="2" borderId="32" xfId="0" applyFont="1" applyFill="1" applyBorder="1" applyAlignment="1">
      <alignment horizontal="center"/>
    </xf>
    <xf numFmtId="44" fontId="7" fillId="2" borderId="32" xfId="1" applyFont="1" applyFill="1" applyBorder="1" applyAlignment="1">
      <alignment horizontal="center"/>
    </xf>
    <xf numFmtId="0" fontId="7" fillId="2" borderId="32" xfId="1" applyNumberFormat="1" applyFont="1" applyFill="1" applyBorder="1" applyAlignment="1">
      <alignment horizontal="center"/>
    </xf>
    <xf numFmtId="9" fontId="7" fillId="2" borderId="32" xfId="6" applyFont="1" applyFill="1" applyBorder="1" applyAlignment="1">
      <alignment horizontal="center"/>
    </xf>
    <xf numFmtId="0" fontId="7" fillId="2" borderId="32" xfId="1" applyNumberFormat="1" applyFont="1" applyFill="1" applyBorder="1" applyAlignment="1">
      <alignment horizontal="center" wrapText="1"/>
    </xf>
    <xf numFmtId="0" fontId="7" fillId="2" borderId="33" xfId="0" applyFont="1" applyFill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6"/>
  <sheetViews>
    <sheetView tabSelected="1" topLeftCell="A11" zoomScale="80" zoomScaleNormal="80" zoomScalePageLayoutView="90" workbookViewId="0">
      <selection activeCell="H48" sqref="H48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55" t="s">
        <v>20</v>
      </c>
      <c r="B1" s="56"/>
      <c r="C1" s="56"/>
      <c r="D1" s="56"/>
      <c r="E1" s="57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58" t="s">
        <v>21</v>
      </c>
      <c r="B2" s="59"/>
      <c r="C2" s="59"/>
      <c r="D2" s="59"/>
      <c r="E2" s="60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58" t="s">
        <v>22</v>
      </c>
      <c r="B3" s="59"/>
      <c r="C3" s="59"/>
      <c r="D3" s="59"/>
      <c r="E3" s="60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58" t="s">
        <v>23</v>
      </c>
      <c r="B4" s="59"/>
      <c r="C4" s="59"/>
      <c r="D4" s="59"/>
      <c r="E4" s="60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61" t="s">
        <v>24</v>
      </c>
      <c r="B5" s="62"/>
      <c r="C5" s="62"/>
      <c r="D5" s="62"/>
      <c r="E5" s="63"/>
      <c r="F5" s="1"/>
      <c r="G5"/>
      <c r="H5"/>
      <c r="I5"/>
      <c r="J5" s="1"/>
      <c r="K5" s="1"/>
      <c r="L5" s="1"/>
      <c r="O5" s="3"/>
    </row>
    <row r="8" spans="1:18" s="9" customFormat="1" ht="25.5" customHeight="1" x14ac:dyDescent="0.15">
      <c r="A8" s="46" t="s">
        <v>62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8"/>
    </row>
    <row r="9" spans="1:18" ht="24" customHeight="1" x14ac:dyDescent="0.2">
      <c r="A9" s="36" t="s">
        <v>0</v>
      </c>
      <c r="B9" s="49" t="s">
        <v>1</v>
      </c>
      <c r="C9" s="51" t="s">
        <v>2</v>
      </c>
      <c r="D9" s="52"/>
      <c r="E9" s="53"/>
      <c r="F9" s="51" t="s">
        <v>3</v>
      </c>
      <c r="G9" s="52"/>
      <c r="H9" s="53"/>
      <c r="I9" s="34" t="s">
        <v>4</v>
      </c>
      <c r="J9" s="34" t="s">
        <v>5</v>
      </c>
      <c r="K9" s="34" t="s">
        <v>6</v>
      </c>
      <c r="L9" s="34" t="s">
        <v>7</v>
      </c>
      <c r="M9" s="34" t="s">
        <v>8</v>
      </c>
      <c r="N9" s="34" t="s">
        <v>9</v>
      </c>
      <c r="O9" s="36" t="s">
        <v>10</v>
      </c>
    </row>
    <row r="10" spans="1:18" s="4" customFormat="1" ht="24" customHeight="1" thickBot="1" x14ac:dyDescent="0.25">
      <c r="A10" s="37"/>
      <c r="B10" s="50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35"/>
      <c r="J10" s="35"/>
      <c r="K10" s="35"/>
      <c r="L10" s="35"/>
      <c r="M10" s="35"/>
      <c r="N10" s="35"/>
      <c r="O10" s="37"/>
    </row>
    <row r="11" spans="1:18" s="4" customFormat="1" ht="95" customHeight="1" x14ac:dyDescent="0.2">
      <c r="A11" s="91">
        <v>1</v>
      </c>
      <c r="B11" s="92" t="s">
        <v>70</v>
      </c>
      <c r="C11" s="93">
        <v>1</v>
      </c>
      <c r="D11" s="94">
        <v>35320</v>
      </c>
      <c r="E11" s="94">
        <f>C11*D11</f>
        <v>35320</v>
      </c>
      <c r="F11" s="93">
        <v>0</v>
      </c>
      <c r="G11" s="94">
        <v>0</v>
      </c>
      <c r="H11" s="94">
        <f>F11*G11</f>
        <v>0</v>
      </c>
      <c r="I11" s="95" t="s">
        <v>45</v>
      </c>
      <c r="J11" s="95" t="s">
        <v>45</v>
      </c>
      <c r="K11" s="94">
        <f>H11*(1-L11)</f>
        <v>0</v>
      </c>
      <c r="L11" s="96">
        <v>0</v>
      </c>
      <c r="M11" s="94">
        <f>H11-K11</f>
        <v>0</v>
      </c>
      <c r="N11" s="97" t="s">
        <v>45</v>
      </c>
      <c r="O11" s="98" t="s">
        <v>25</v>
      </c>
      <c r="R11" s="33"/>
    </row>
    <row r="12" spans="1:18" s="4" customFormat="1" ht="76" customHeight="1" x14ac:dyDescent="0.2">
      <c r="A12" s="78">
        <v>2</v>
      </c>
      <c r="B12" s="79" t="s">
        <v>26</v>
      </c>
      <c r="C12" s="80">
        <v>0</v>
      </c>
      <c r="D12" s="77">
        <v>0</v>
      </c>
      <c r="E12" s="77">
        <f t="shared" ref="E12:E21" si="0">C12*D12</f>
        <v>0</v>
      </c>
      <c r="F12" s="80">
        <v>1</v>
      </c>
      <c r="G12" s="77">
        <v>22100</v>
      </c>
      <c r="H12" s="77">
        <f t="shared" ref="H12" si="1">F12*G12</f>
        <v>22100</v>
      </c>
      <c r="I12" s="81">
        <v>15</v>
      </c>
      <c r="J12" s="81">
        <v>20</v>
      </c>
      <c r="K12" s="82">
        <f t="shared" ref="K12:K21" si="2">H12*(1-L12)</f>
        <v>5525</v>
      </c>
      <c r="L12" s="83">
        <f t="shared" ref="L12" si="3">IF((I12/J12)&gt;=0.75,0.75,IF((I12/J12)&gt;=0.1,(I12/J12),IF((I12/J12)&lt;=0.1,0.1)))</f>
        <v>0.75</v>
      </c>
      <c r="M12" s="82">
        <f t="shared" ref="M12:M21" si="4">H12-K12</f>
        <v>16575</v>
      </c>
      <c r="N12" s="84" t="s">
        <v>46</v>
      </c>
      <c r="O12" s="85" t="s">
        <v>71</v>
      </c>
    </row>
    <row r="13" spans="1:18" s="4" customFormat="1" ht="65" customHeight="1" x14ac:dyDescent="0.2">
      <c r="A13" s="86">
        <v>3</v>
      </c>
      <c r="B13" s="87" t="s">
        <v>30</v>
      </c>
      <c r="C13" s="80">
        <v>0</v>
      </c>
      <c r="D13" s="82">
        <v>0</v>
      </c>
      <c r="E13" s="82">
        <f>C13*D13</f>
        <v>0</v>
      </c>
      <c r="F13" s="80">
        <v>1</v>
      </c>
      <c r="G13" s="82">
        <v>300</v>
      </c>
      <c r="H13" s="82">
        <f>F13*G13</f>
        <v>300</v>
      </c>
      <c r="I13" s="90">
        <v>15</v>
      </c>
      <c r="J13" s="90">
        <v>20</v>
      </c>
      <c r="K13" s="82">
        <f>H13*(1-L13)</f>
        <v>75</v>
      </c>
      <c r="L13" s="83">
        <f>IF((I13/J13)&gt;=0.75,0.75,IF((I13/J13)&gt;=0.1,(I13/J13),IF((I13/J13)&lt;=0.1,0.1)))</f>
        <v>0.75</v>
      </c>
      <c r="M13" s="82">
        <f>H13-K13</f>
        <v>225</v>
      </c>
      <c r="N13" s="88" t="s">
        <v>46</v>
      </c>
      <c r="O13" s="89" t="s">
        <v>72</v>
      </c>
    </row>
    <row r="14" spans="1:18" s="4" customFormat="1" ht="65" customHeight="1" x14ac:dyDescent="0.2">
      <c r="A14" s="78">
        <v>4</v>
      </c>
      <c r="B14" s="79" t="s">
        <v>73</v>
      </c>
      <c r="C14" s="80">
        <v>0</v>
      </c>
      <c r="D14" s="77">
        <v>0</v>
      </c>
      <c r="E14" s="77">
        <f t="shared" si="0"/>
        <v>0</v>
      </c>
      <c r="F14" s="80">
        <v>1</v>
      </c>
      <c r="G14" s="77">
        <v>1500</v>
      </c>
      <c r="H14" s="77">
        <f t="shared" ref="H14" si="5">F14*G14</f>
        <v>1500</v>
      </c>
      <c r="I14" s="81">
        <v>15</v>
      </c>
      <c r="J14" s="81">
        <v>20</v>
      </c>
      <c r="K14" s="82">
        <f t="shared" si="2"/>
        <v>375</v>
      </c>
      <c r="L14" s="83">
        <f t="shared" ref="L14:L16" si="6">IF((I14/J14)&gt;=0.75,0.75,IF((I14/J14)&gt;=0.1,(I14/J14),IF((I14/J14)&lt;=0.1,0.1)))</f>
        <v>0.75</v>
      </c>
      <c r="M14" s="82">
        <f t="shared" si="4"/>
        <v>1125</v>
      </c>
      <c r="N14" s="84" t="s">
        <v>46</v>
      </c>
      <c r="O14" s="85" t="s">
        <v>48</v>
      </c>
    </row>
    <row r="15" spans="1:18" s="4" customFormat="1" ht="65" customHeight="1" x14ac:dyDescent="0.2">
      <c r="A15" s="86">
        <v>5</v>
      </c>
      <c r="B15" s="87" t="s">
        <v>49</v>
      </c>
      <c r="C15" s="80">
        <v>0</v>
      </c>
      <c r="D15" s="82">
        <v>0</v>
      </c>
      <c r="E15" s="82">
        <f t="shared" si="0"/>
        <v>0</v>
      </c>
      <c r="F15" s="80">
        <v>1</v>
      </c>
      <c r="G15" s="82">
        <v>100</v>
      </c>
      <c r="H15" s="82">
        <f>F15*G15</f>
        <v>100</v>
      </c>
      <c r="I15" s="81">
        <v>15</v>
      </c>
      <c r="J15" s="81">
        <v>20</v>
      </c>
      <c r="K15" s="82">
        <f t="shared" si="2"/>
        <v>25</v>
      </c>
      <c r="L15" s="83">
        <f t="shared" si="6"/>
        <v>0.75</v>
      </c>
      <c r="M15" s="82">
        <f t="shared" si="4"/>
        <v>75</v>
      </c>
      <c r="N15" s="88" t="s">
        <v>46</v>
      </c>
      <c r="O15" s="89" t="s">
        <v>53</v>
      </c>
    </row>
    <row r="16" spans="1:18" s="4" customFormat="1" ht="65" customHeight="1" x14ac:dyDescent="0.2">
      <c r="A16" s="78">
        <v>6</v>
      </c>
      <c r="B16" s="79" t="s">
        <v>50</v>
      </c>
      <c r="C16" s="80">
        <v>0</v>
      </c>
      <c r="D16" s="77">
        <v>0</v>
      </c>
      <c r="E16" s="77">
        <f t="shared" si="0"/>
        <v>0</v>
      </c>
      <c r="F16" s="80">
        <v>1</v>
      </c>
      <c r="G16" s="77">
        <v>100</v>
      </c>
      <c r="H16" s="77">
        <f t="shared" ref="H16" si="7">F16*G16</f>
        <v>100</v>
      </c>
      <c r="I16" s="81">
        <v>15</v>
      </c>
      <c r="J16" s="81">
        <v>20</v>
      </c>
      <c r="K16" s="82">
        <f t="shared" si="2"/>
        <v>25</v>
      </c>
      <c r="L16" s="83">
        <f t="shared" si="6"/>
        <v>0.75</v>
      </c>
      <c r="M16" s="82">
        <f t="shared" si="4"/>
        <v>75</v>
      </c>
      <c r="N16" s="84" t="s">
        <v>46</v>
      </c>
      <c r="O16" s="85" t="s">
        <v>52</v>
      </c>
    </row>
    <row r="17" spans="1:15" ht="65" customHeight="1" x14ac:dyDescent="0.2">
      <c r="A17" s="86">
        <v>7</v>
      </c>
      <c r="B17" s="87" t="s">
        <v>77</v>
      </c>
      <c r="C17" s="80">
        <v>0</v>
      </c>
      <c r="D17" s="82">
        <v>0</v>
      </c>
      <c r="E17" s="82">
        <f t="shared" si="0"/>
        <v>0</v>
      </c>
      <c r="F17" s="90">
        <v>1</v>
      </c>
      <c r="G17" s="82">
        <v>1600</v>
      </c>
      <c r="H17" s="82">
        <f t="shared" ref="H17" si="8">F17*G17</f>
        <v>1600</v>
      </c>
      <c r="I17" s="90">
        <v>15</v>
      </c>
      <c r="J17" s="90">
        <v>20</v>
      </c>
      <c r="K17" s="82">
        <f t="shared" si="2"/>
        <v>400</v>
      </c>
      <c r="L17" s="83">
        <f t="shared" ref="L17" si="9">IF((I17/J17)&gt;=0.75,0.75,IF((I17/J17)&gt;=0,(I17/J17),IF((I17/J17)&lt;=0.1,0)))</f>
        <v>0.75</v>
      </c>
      <c r="M17" s="82">
        <f t="shared" si="4"/>
        <v>1200</v>
      </c>
      <c r="N17" s="88" t="s">
        <v>46</v>
      </c>
      <c r="O17" s="89" t="s">
        <v>51</v>
      </c>
    </row>
    <row r="18" spans="1:15" s="4" customFormat="1" ht="65" customHeight="1" x14ac:dyDescent="0.2">
      <c r="A18" s="86">
        <v>8</v>
      </c>
      <c r="B18" s="87" t="s">
        <v>29</v>
      </c>
      <c r="C18" s="80">
        <v>0</v>
      </c>
      <c r="D18" s="82">
        <v>0</v>
      </c>
      <c r="E18" s="82">
        <f>C18*D18</f>
        <v>0</v>
      </c>
      <c r="F18" s="80">
        <v>4</v>
      </c>
      <c r="G18" s="82">
        <v>25</v>
      </c>
      <c r="H18" s="82">
        <f>F18*G18</f>
        <v>100</v>
      </c>
      <c r="I18" s="90" t="s">
        <v>45</v>
      </c>
      <c r="J18" s="90" t="s">
        <v>45</v>
      </c>
      <c r="K18" s="82">
        <f>H18*(1-L18)</f>
        <v>100</v>
      </c>
      <c r="L18" s="83">
        <v>0</v>
      </c>
      <c r="M18" s="82">
        <f>H18-K18</f>
        <v>0</v>
      </c>
      <c r="N18" s="88" t="s">
        <v>45</v>
      </c>
      <c r="O18" s="89" t="s">
        <v>44</v>
      </c>
    </row>
    <row r="19" spans="1:15" s="4" customFormat="1" ht="65" customHeight="1" x14ac:dyDescent="0.2">
      <c r="A19" s="86">
        <v>9</v>
      </c>
      <c r="B19" s="87" t="s">
        <v>27</v>
      </c>
      <c r="C19" s="80">
        <v>0</v>
      </c>
      <c r="D19" s="82">
        <v>0</v>
      </c>
      <c r="E19" s="82">
        <f>C19*D19</f>
        <v>0</v>
      </c>
      <c r="F19" s="80">
        <v>1</v>
      </c>
      <c r="G19" s="82">
        <v>1100</v>
      </c>
      <c r="H19" s="82">
        <f>F19*G19</f>
        <v>1100</v>
      </c>
      <c r="I19" s="90" t="s">
        <v>45</v>
      </c>
      <c r="J19" s="90" t="s">
        <v>45</v>
      </c>
      <c r="K19" s="82">
        <f>H19*(1-L19)</f>
        <v>1100</v>
      </c>
      <c r="L19" s="83">
        <v>0</v>
      </c>
      <c r="M19" s="82">
        <f>H19-K19</f>
        <v>0</v>
      </c>
      <c r="N19" s="88" t="s">
        <v>45</v>
      </c>
      <c r="O19" s="89" t="s">
        <v>47</v>
      </c>
    </row>
    <row r="20" spans="1:15" s="4" customFormat="1" ht="65" customHeight="1" x14ac:dyDescent="0.2">
      <c r="A20" s="78">
        <v>10</v>
      </c>
      <c r="B20" s="79" t="s">
        <v>31</v>
      </c>
      <c r="C20" s="80">
        <v>0</v>
      </c>
      <c r="D20" s="77">
        <v>0</v>
      </c>
      <c r="E20" s="77">
        <f>C20*D20</f>
        <v>0</v>
      </c>
      <c r="F20" s="80">
        <v>1</v>
      </c>
      <c r="G20" s="77">
        <v>420</v>
      </c>
      <c r="H20" s="77">
        <f t="shared" ref="H20" si="10">F20*G20</f>
        <v>420</v>
      </c>
      <c r="I20" s="81" t="s">
        <v>45</v>
      </c>
      <c r="J20" s="81" t="s">
        <v>45</v>
      </c>
      <c r="K20" s="82">
        <f>H20*(1-L20)</f>
        <v>420</v>
      </c>
      <c r="L20" s="83">
        <v>0</v>
      </c>
      <c r="M20" s="82">
        <f>H20-K20</f>
        <v>0</v>
      </c>
      <c r="N20" s="84" t="s">
        <v>45</v>
      </c>
      <c r="O20" s="85" t="s">
        <v>74</v>
      </c>
    </row>
    <row r="21" spans="1:15" s="4" customFormat="1" ht="65" customHeight="1" thickBot="1" x14ac:dyDescent="0.25">
      <c r="A21" s="99">
        <v>11</v>
      </c>
      <c r="B21" s="100" t="s">
        <v>28</v>
      </c>
      <c r="C21" s="101">
        <v>0</v>
      </c>
      <c r="D21" s="102">
        <v>0</v>
      </c>
      <c r="E21" s="102">
        <f t="shared" si="0"/>
        <v>0</v>
      </c>
      <c r="F21" s="101">
        <v>40</v>
      </c>
      <c r="G21" s="102">
        <v>200</v>
      </c>
      <c r="H21" s="102">
        <f t="shared" ref="H21" si="11">F21*G21</f>
        <v>8000</v>
      </c>
      <c r="I21" s="103" t="s">
        <v>45</v>
      </c>
      <c r="J21" s="103" t="s">
        <v>45</v>
      </c>
      <c r="K21" s="104">
        <f t="shared" si="2"/>
        <v>8000</v>
      </c>
      <c r="L21" s="105">
        <v>0</v>
      </c>
      <c r="M21" s="104">
        <f t="shared" si="4"/>
        <v>0</v>
      </c>
      <c r="N21" s="106" t="s">
        <v>45</v>
      </c>
      <c r="O21" s="107" t="s">
        <v>54</v>
      </c>
    </row>
    <row r="22" spans="1:15" s="4" customFormat="1" ht="18" customHeight="1" thickBot="1" x14ac:dyDescent="0.25">
      <c r="A22" s="68" t="s">
        <v>14</v>
      </c>
      <c r="B22" s="69"/>
      <c r="C22" s="69"/>
      <c r="D22" s="70"/>
      <c r="E22" s="19">
        <f>SUM(E11:E21)</f>
        <v>35320</v>
      </c>
      <c r="F22" s="20"/>
      <c r="G22" s="21"/>
      <c r="H22" s="22">
        <f>SUM(H11:H21)</f>
        <v>35320</v>
      </c>
      <c r="I22" s="71"/>
      <c r="J22" s="72"/>
      <c r="K22" s="23">
        <f>SUM(K11:K21)</f>
        <v>16045</v>
      </c>
      <c r="L22" s="23"/>
      <c r="M22" s="23">
        <f>SUM(M11:M21)</f>
        <v>19275</v>
      </c>
      <c r="N22"/>
    </row>
    <row r="23" spans="1:15" s="4" customFormat="1" ht="18" customHeight="1" x14ac:dyDescent="0.2">
      <c r="A23" s="64" t="s">
        <v>15</v>
      </c>
      <c r="B23" s="65"/>
      <c r="C23" s="65"/>
      <c r="D23" s="66"/>
      <c r="E23" s="24">
        <v>0</v>
      </c>
      <c r="F23" s="25"/>
      <c r="G23" s="26"/>
      <c r="H23" s="24">
        <v>0</v>
      </c>
      <c r="I23" s="75"/>
      <c r="J23" s="76"/>
      <c r="K23" s="27">
        <v>0</v>
      </c>
      <c r="L23" s="27"/>
      <c r="M23" s="27">
        <v>0</v>
      </c>
      <c r="N23"/>
    </row>
    <row r="24" spans="1:15" s="4" customFormat="1" ht="18" customHeight="1" thickBot="1" x14ac:dyDescent="0.25">
      <c r="A24" s="64" t="s">
        <v>13</v>
      </c>
      <c r="B24" s="65"/>
      <c r="C24" s="65"/>
      <c r="D24" s="66"/>
      <c r="E24" s="28">
        <f>SUM(E22:E23)</f>
        <v>35320</v>
      </c>
      <c r="F24" s="29"/>
      <c r="G24" s="30"/>
      <c r="H24" s="28">
        <f>SUM(H22,H23)</f>
        <v>35320</v>
      </c>
      <c r="I24" s="73"/>
      <c r="J24" s="74"/>
      <c r="K24" s="31">
        <f>SUM(K22:K23)</f>
        <v>16045</v>
      </c>
      <c r="L24" s="31"/>
      <c r="M24" s="31">
        <f>SUM(M22:M23)</f>
        <v>19275</v>
      </c>
      <c r="N24"/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/>
      <c r="O25" s="2"/>
    </row>
    <row r="26" spans="1:15" ht="12.75" customHeight="1" thickBo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32"/>
    </row>
    <row r="27" spans="1:15" s="9" customFormat="1" ht="25.5" customHeight="1" thickBot="1" x14ac:dyDescent="0.2">
      <c r="A27" s="46" t="s">
        <v>61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</row>
    <row r="28" spans="1:15" ht="24" customHeight="1" thickBot="1" x14ac:dyDescent="0.25">
      <c r="A28" s="36" t="s">
        <v>0</v>
      </c>
      <c r="B28" s="49" t="s">
        <v>1</v>
      </c>
      <c r="C28" s="51" t="s">
        <v>2</v>
      </c>
      <c r="D28" s="52"/>
      <c r="E28" s="53"/>
      <c r="F28" s="51" t="s">
        <v>3</v>
      </c>
      <c r="G28" s="52"/>
      <c r="H28" s="53"/>
      <c r="I28" s="34" t="s">
        <v>4</v>
      </c>
      <c r="J28" s="34" t="s">
        <v>5</v>
      </c>
      <c r="K28" s="34" t="s">
        <v>6</v>
      </c>
      <c r="L28" s="34" t="s">
        <v>7</v>
      </c>
      <c r="M28" s="34" t="s">
        <v>8</v>
      </c>
      <c r="N28" s="34" t="s">
        <v>9</v>
      </c>
      <c r="O28" s="36" t="s">
        <v>10</v>
      </c>
    </row>
    <row r="29" spans="1:15" ht="24" customHeight="1" thickBot="1" x14ac:dyDescent="0.25">
      <c r="A29" s="37"/>
      <c r="B29" s="50"/>
      <c r="C29" s="11" t="s">
        <v>11</v>
      </c>
      <c r="D29" s="10" t="s">
        <v>12</v>
      </c>
      <c r="E29" s="12" t="s">
        <v>13</v>
      </c>
      <c r="F29" s="12" t="s">
        <v>11</v>
      </c>
      <c r="G29" s="12" t="s">
        <v>12</v>
      </c>
      <c r="H29" s="12" t="s">
        <v>13</v>
      </c>
      <c r="I29" s="35"/>
      <c r="J29" s="35"/>
      <c r="K29" s="35"/>
      <c r="L29" s="35"/>
      <c r="M29" s="35"/>
      <c r="N29" s="35"/>
      <c r="O29" s="37"/>
    </row>
    <row r="30" spans="1:15" ht="68" x14ac:dyDescent="0.2">
      <c r="A30" s="108">
        <v>1</v>
      </c>
      <c r="B30" s="109" t="s">
        <v>32</v>
      </c>
      <c r="C30" s="110">
        <v>1</v>
      </c>
      <c r="D30" s="111">
        <v>11556</v>
      </c>
      <c r="E30" s="111">
        <f t="shared" ref="E30:E38" si="12">C30*D30</f>
        <v>11556</v>
      </c>
      <c r="F30" s="112">
        <v>0</v>
      </c>
      <c r="G30" s="111">
        <v>0</v>
      </c>
      <c r="H30" s="111">
        <f>F30*G30</f>
        <v>0</v>
      </c>
      <c r="I30" s="112" t="s">
        <v>45</v>
      </c>
      <c r="J30" s="112" t="s">
        <v>45</v>
      </c>
      <c r="K30" s="111">
        <f>H30*(1-L30)</f>
        <v>0</v>
      </c>
      <c r="L30" s="113">
        <v>0</v>
      </c>
      <c r="M30" s="111">
        <f>H30-K30</f>
        <v>0</v>
      </c>
      <c r="N30" s="114" t="s">
        <v>45</v>
      </c>
      <c r="O30" s="115" t="s">
        <v>60</v>
      </c>
    </row>
    <row r="31" spans="1:15" ht="65" customHeight="1" x14ac:dyDescent="0.2">
      <c r="A31" s="116">
        <v>2</v>
      </c>
      <c r="B31" s="16" t="s">
        <v>33</v>
      </c>
      <c r="C31" s="13">
        <v>0</v>
      </c>
      <c r="D31" s="14">
        <v>0</v>
      </c>
      <c r="E31" s="14">
        <f t="shared" si="12"/>
        <v>0</v>
      </c>
      <c r="F31" s="17">
        <v>2</v>
      </c>
      <c r="G31" s="14">
        <v>4000</v>
      </c>
      <c r="H31" s="14">
        <f t="shared" ref="H31:H38" si="13">F31*G31</f>
        <v>8000</v>
      </c>
      <c r="I31" s="17">
        <v>20</v>
      </c>
      <c r="J31" s="17">
        <v>20</v>
      </c>
      <c r="K31" s="14">
        <f t="shared" ref="K31:K38" si="14">H31*(1-L31)</f>
        <v>2000</v>
      </c>
      <c r="L31" s="15">
        <f t="shared" ref="L31:L36" si="15">IF((I31/J31)&gt;=0.75,0.75,IF((I31/J31)&gt;=0,(I31/J31),IF((I31/J31)&lt;=0.1,0)))</f>
        <v>0.75</v>
      </c>
      <c r="M31" s="14">
        <f t="shared" ref="M31:M38" si="16">H31-K31</f>
        <v>6000</v>
      </c>
      <c r="N31" s="18" t="s">
        <v>46</v>
      </c>
      <c r="O31" s="117" t="s">
        <v>69</v>
      </c>
    </row>
    <row r="32" spans="1:15" ht="65" customHeight="1" x14ac:dyDescent="0.2">
      <c r="A32" s="116">
        <v>9</v>
      </c>
      <c r="B32" s="16" t="s">
        <v>41</v>
      </c>
      <c r="C32" s="13">
        <v>0</v>
      </c>
      <c r="D32" s="14">
        <v>0</v>
      </c>
      <c r="E32" s="14">
        <f t="shared" ref="E32" si="17">C32*D32</f>
        <v>0</v>
      </c>
      <c r="F32" s="17">
        <v>2</v>
      </c>
      <c r="G32" s="14">
        <v>205</v>
      </c>
      <c r="H32" s="14">
        <f t="shared" ref="H32" si="18">F32*G32</f>
        <v>410</v>
      </c>
      <c r="I32" s="17">
        <v>20</v>
      </c>
      <c r="J32" s="17">
        <v>20</v>
      </c>
      <c r="K32" s="14">
        <f t="shared" ref="K32" si="19">H32*(1-L32)</f>
        <v>102.5</v>
      </c>
      <c r="L32" s="15">
        <f t="shared" ref="L32" si="20">IF((I32/J32)&gt;=0.75,0.75,IF((I32/J32)&gt;=0,(I32/J32),IF((I32/J32)&lt;=0.1,0)))</f>
        <v>0.75</v>
      </c>
      <c r="M32" s="14">
        <f t="shared" ref="M32" si="21">H32-K32</f>
        <v>307.5</v>
      </c>
      <c r="N32" s="18" t="s">
        <v>46</v>
      </c>
      <c r="O32" s="117" t="s">
        <v>42</v>
      </c>
    </row>
    <row r="33" spans="1:15" ht="65" customHeight="1" x14ac:dyDescent="0.2">
      <c r="A33" s="116">
        <v>3</v>
      </c>
      <c r="B33" s="16" t="s">
        <v>43</v>
      </c>
      <c r="C33" s="13">
        <v>0</v>
      </c>
      <c r="D33" s="14">
        <v>0</v>
      </c>
      <c r="E33" s="14">
        <f t="shared" si="12"/>
        <v>0</v>
      </c>
      <c r="F33" s="17">
        <v>2</v>
      </c>
      <c r="G33" s="14">
        <v>84</v>
      </c>
      <c r="H33" s="14">
        <f t="shared" si="13"/>
        <v>168</v>
      </c>
      <c r="I33" s="17">
        <v>20</v>
      </c>
      <c r="J33" s="17">
        <v>20</v>
      </c>
      <c r="K33" s="14">
        <f t="shared" si="14"/>
        <v>42</v>
      </c>
      <c r="L33" s="15">
        <f t="shared" si="15"/>
        <v>0.75</v>
      </c>
      <c r="M33" s="14">
        <f t="shared" si="16"/>
        <v>126</v>
      </c>
      <c r="N33" s="18" t="s">
        <v>46</v>
      </c>
      <c r="O33" s="117" t="s">
        <v>59</v>
      </c>
    </row>
    <row r="34" spans="1:15" ht="65" customHeight="1" x14ac:dyDescent="0.2">
      <c r="A34" s="116">
        <v>4</v>
      </c>
      <c r="B34" s="16" t="s">
        <v>75</v>
      </c>
      <c r="C34" s="13">
        <v>0</v>
      </c>
      <c r="D34" s="14">
        <v>0</v>
      </c>
      <c r="E34" s="14">
        <f t="shared" si="12"/>
        <v>0</v>
      </c>
      <c r="F34" s="17">
        <v>15</v>
      </c>
      <c r="G34" s="14">
        <v>100</v>
      </c>
      <c r="H34" s="14">
        <f t="shared" si="13"/>
        <v>1500</v>
      </c>
      <c r="I34" s="17">
        <v>20</v>
      </c>
      <c r="J34" s="17">
        <v>20</v>
      </c>
      <c r="K34" s="14">
        <f t="shared" si="14"/>
        <v>375</v>
      </c>
      <c r="L34" s="15">
        <f t="shared" si="15"/>
        <v>0.75</v>
      </c>
      <c r="M34" s="14">
        <f t="shared" si="16"/>
        <v>1125</v>
      </c>
      <c r="N34" s="18" t="s">
        <v>46</v>
      </c>
      <c r="O34" s="117" t="s">
        <v>76</v>
      </c>
    </row>
    <row r="35" spans="1:15" ht="65" customHeight="1" x14ac:dyDescent="0.2">
      <c r="A35" s="116">
        <v>5</v>
      </c>
      <c r="B35" s="16" t="s">
        <v>34</v>
      </c>
      <c r="C35" s="13">
        <v>0</v>
      </c>
      <c r="D35" s="14">
        <v>0</v>
      </c>
      <c r="E35" s="14">
        <f t="shared" si="12"/>
        <v>0</v>
      </c>
      <c r="F35" s="17">
        <v>1</v>
      </c>
      <c r="G35" s="14">
        <v>25</v>
      </c>
      <c r="H35" s="14">
        <f t="shared" si="13"/>
        <v>25</v>
      </c>
      <c r="I35" s="17">
        <v>20</v>
      </c>
      <c r="J35" s="17">
        <v>20</v>
      </c>
      <c r="K35" s="14">
        <f t="shared" si="14"/>
        <v>6.25</v>
      </c>
      <c r="L35" s="15">
        <f t="shared" si="15"/>
        <v>0.75</v>
      </c>
      <c r="M35" s="14">
        <f t="shared" si="16"/>
        <v>18.75</v>
      </c>
      <c r="N35" s="18" t="s">
        <v>46</v>
      </c>
      <c r="O35" s="117" t="s">
        <v>55</v>
      </c>
    </row>
    <row r="36" spans="1:15" ht="65" customHeight="1" x14ac:dyDescent="0.2">
      <c r="A36" s="116">
        <v>6</v>
      </c>
      <c r="B36" s="16" t="s">
        <v>35</v>
      </c>
      <c r="C36" s="13">
        <v>0</v>
      </c>
      <c r="D36" s="14">
        <v>0</v>
      </c>
      <c r="E36" s="14">
        <f t="shared" si="12"/>
        <v>0</v>
      </c>
      <c r="F36" s="17">
        <v>1</v>
      </c>
      <c r="G36" s="14">
        <v>25</v>
      </c>
      <c r="H36" s="14">
        <f t="shared" si="13"/>
        <v>25</v>
      </c>
      <c r="I36" s="17">
        <v>20</v>
      </c>
      <c r="J36" s="17">
        <v>20</v>
      </c>
      <c r="K36" s="14">
        <f t="shared" si="14"/>
        <v>6.25</v>
      </c>
      <c r="L36" s="15">
        <f t="shared" si="15"/>
        <v>0.75</v>
      </c>
      <c r="M36" s="14">
        <f t="shared" si="16"/>
        <v>18.75</v>
      </c>
      <c r="N36" s="18" t="s">
        <v>46</v>
      </c>
      <c r="O36" s="117" t="s">
        <v>56</v>
      </c>
    </row>
    <row r="37" spans="1:15" ht="65" customHeight="1" x14ac:dyDescent="0.2">
      <c r="A37" s="116">
        <v>7</v>
      </c>
      <c r="B37" s="16" t="s">
        <v>36</v>
      </c>
      <c r="C37" s="13">
        <v>0</v>
      </c>
      <c r="D37" s="14">
        <v>0</v>
      </c>
      <c r="E37" s="14">
        <f t="shared" si="12"/>
        <v>0</v>
      </c>
      <c r="F37" s="17">
        <v>1</v>
      </c>
      <c r="G37" s="14">
        <v>228</v>
      </c>
      <c r="H37" s="14">
        <f t="shared" si="13"/>
        <v>228</v>
      </c>
      <c r="I37" s="17" t="s">
        <v>45</v>
      </c>
      <c r="J37" s="17" t="s">
        <v>45</v>
      </c>
      <c r="K37" s="14">
        <f t="shared" si="14"/>
        <v>228</v>
      </c>
      <c r="L37" s="15">
        <v>0</v>
      </c>
      <c r="M37" s="14">
        <f t="shared" si="16"/>
        <v>0</v>
      </c>
      <c r="N37" s="18" t="s">
        <v>45</v>
      </c>
      <c r="O37" s="117" t="s">
        <v>57</v>
      </c>
    </row>
    <row r="38" spans="1:15" ht="65" customHeight="1" thickBot="1" x14ac:dyDescent="0.25">
      <c r="A38" s="118">
        <v>8</v>
      </c>
      <c r="B38" s="119" t="s">
        <v>37</v>
      </c>
      <c r="C38" s="120">
        <v>0</v>
      </c>
      <c r="D38" s="121">
        <v>0</v>
      </c>
      <c r="E38" s="121">
        <f t="shared" si="12"/>
        <v>0</v>
      </c>
      <c r="F38" s="122">
        <v>8</v>
      </c>
      <c r="G38" s="121">
        <v>150</v>
      </c>
      <c r="H38" s="121">
        <f t="shared" si="13"/>
        <v>1200</v>
      </c>
      <c r="I38" s="122" t="s">
        <v>45</v>
      </c>
      <c r="J38" s="122" t="s">
        <v>45</v>
      </c>
      <c r="K38" s="121">
        <f t="shared" si="14"/>
        <v>1200</v>
      </c>
      <c r="L38" s="123">
        <v>0</v>
      </c>
      <c r="M38" s="121">
        <f t="shared" si="16"/>
        <v>0</v>
      </c>
      <c r="N38" s="124" t="s">
        <v>45</v>
      </c>
      <c r="O38" s="125" t="s">
        <v>58</v>
      </c>
    </row>
    <row r="39" spans="1:15" s="4" customFormat="1" ht="18" customHeight="1" thickBot="1" x14ac:dyDescent="0.25">
      <c r="A39" s="68" t="s">
        <v>14</v>
      </c>
      <c r="B39" s="69"/>
      <c r="C39" s="69"/>
      <c r="D39" s="70"/>
      <c r="E39" s="19">
        <f>SUM(E30:E38)</f>
        <v>11556</v>
      </c>
      <c r="F39" s="20"/>
      <c r="G39" s="21"/>
      <c r="H39" s="22">
        <f>SUM(H30:H38)</f>
        <v>11556</v>
      </c>
      <c r="I39" s="71"/>
      <c r="J39" s="72"/>
      <c r="K39" s="23">
        <f>SUM(K30:K38)</f>
        <v>3960</v>
      </c>
      <c r="L39" s="23"/>
      <c r="M39" s="23">
        <f>SUM(M30:M38)</f>
        <v>7596</v>
      </c>
      <c r="N39"/>
    </row>
    <row r="40" spans="1:15" s="4" customFormat="1" ht="18" customHeight="1" thickBot="1" x14ac:dyDescent="0.25">
      <c r="A40" s="64" t="s">
        <v>15</v>
      </c>
      <c r="B40" s="65"/>
      <c r="C40" s="65"/>
      <c r="D40" s="66"/>
      <c r="E40" s="24">
        <v>0</v>
      </c>
      <c r="F40" s="25"/>
      <c r="G40" s="26"/>
      <c r="H40" s="24">
        <v>0</v>
      </c>
      <c r="I40" s="75"/>
      <c r="J40" s="76"/>
      <c r="K40" s="27">
        <v>0</v>
      </c>
      <c r="L40" s="27"/>
      <c r="M40" s="27">
        <v>0</v>
      </c>
      <c r="N40"/>
    </row>
    <row r="41" spans="1:15" s="4" customFormat="1" ht="18" customHeight="1" thickBot="1" x14ac:dyDescent="0.25">
      <c r="A41" s="64" t="s">
        <v>13</v>
      </c>
      <c r="B41" s="65"/>
      <c r="C41" s="65"/>
      <c r="D41" s="66"/>
      <c r="E41" s="28">
        <f>SUM(E39:E40)</f>
        <v>11556</v>
      </c>
      <c r="F41" s="29"/>
      <c r="G41" s="30"/>
      <c r="H41" s="28">
        <f>SUM(H39,H40)</f>
        <v>11556</v>
      </c>
      <c r="I41" s="73"/>
      <c r="J41" s="74"/>
      <c r="K41" s="31">
        <f>SUM(K39:K40)</f>
        <v>3960</v>
      </c>
      <c r="L41" s="31"/>
      <c r="M41" s="31">
        <f>SUM(M39:M40)</f>
        <v>7596</v>
      </c>
      <c r="N41"/>
    </row>
    <row r="42" spans="1:15" ht="15" customHeight="1" x14ac:dyDescent="0.2">
      <c r="A42" s="2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/>
      <c r="O42" s="2"/>
    </row>
    <row r="43" spans="1:15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32"/>
    </row>
    <row r="44" spans="1:15" s="9" customFormat="1" ht="25.5" customHeight="1" x14ac:dyDescent="0.15">
      <c r="A44" s="46" t="s">
        <v>63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8"/>
    </row>
    <row r="45" spans="1:15" ht="24" customHeight="1" x14ac:dyDescent="0.2">
      <c r="A45" s="36" t="s">
        <v>0</v>
      </c>
      <c r="B45" s="49" t="s">
        <v>1</v>
      </c>
      <c r="C45" s="51" t="s">
        <v>2</v>
      </c>
      <c r="D45" s="52"/>
      <c r="E45" s="53"/>
      <c r="F45" s="51" t="s">
        <v>3</v>
      </c>
      <c r="G45" s="52"/>
      <c r="H45" s="53"/>
      <c r="I45" s="34" t="s">
        <v>4</v>
      </c>
      <c r="J45" s="34" t="s">
        <v>5</v>
      </c>
      <c r="K45" s="34" t="s">
        <v>6</v>
      </c>
      <c r="L45" s="34" t="s">
        <v>7</v>
      </c>
      <c r="M45" s="34" t="s">
        <v>8</v>
      </c>
      <c r="N45" s="34" t="s">
        <v>9</v>
      </c>
      <c r="O45" s="36" t="s">
        <v>10</v>
      </c>
    </row>
    <row r="46" spans="1:15" ht="24" customHeight="1" thickBot="1" x14ac:dyDescent="0.25">
      <c r="A46" s="37"/>
      <c r="B46" s="50"/>
      <c r="C46" s="11" t="s">
        <v>11</v>
      </c>
      <c r="D46" s="10" t="s">
        <v>12</v>
      </c>
      <c r="E46" s="12" t="s">
        <v>13</v>
      </c>
      <c r="F46" s="12" t="s">
        <v>11</v>
      </c>
      <c r="G46" s="12" t="s">
        <v>12</v>
      </c>
      <c r="H46" s="12" t="s">
        <v>13</v>
      </c>
      <c r="I46" s="35"/>
      <c r="J46" s="35"/>
      <c r="K46" s="35"/>
      <c r="L46" s="35"/>
      <c r="M46" s="35"/>
      <c r="N46" s="35"/>
      <c r="O46" s="37"/>
    </row>
    <row r="47" spans="1:15" ht="78" customHeight="1" x14ac:dyDescent="0.2">
      <c r="A47" s="108">
        <v>1</v>
      </c>
      <c r="B47" s="109" t="s">
        <v>38</v>
      </c>
      <c r="C47" s="110">
        <v>1</v>
      </c>
      <c r="D47" s="111">
        <v>5945</v>
      </c>
      <c r="E47" s="111">
        <f t="shared" ref="E47:E48" si="22">C47*D47</f>
        <v>5945</v>
      </c>
      <c r="F47" s="112">
        <v>0</v>
      </c>
      <c r="G47" s="111">
        <v>0</v>
      </c>
      <c r="H47" s="111">
        <f>F47*G47</f>
        <v>0</v>
      </c>
      <c r="I47" s="112" t="s">
        <v>45</v>
      </c>
      <c r="J47" s="112" t="s">
        <v>45</v>
      </c>
      <c r="K47" s="111">
        <f>H47*(1-L47)</f>
        <v>0</v>
      </c>
      <c r="L47" s="113">
        <v>0</v>
      </c>
      <c r="M47" s="111">
        <f>H47-K47</f>
        <v>0</v>
      </c>
      <c r="N47" s="114" t="s">
        <v>45</v>
      </c>
      <c r="O47" s="115" t="s">
        <v>64</v>
      </c>
    </row>
    <row r="48" spans="1:15" ht="65" customHeight="1" x14ac:dyDescent="0.2">
      <c r="A48" s="116">
        <v>2</v>
      </c>
      <c r="B48" s="16" t="s">
        <v>39</v>
      </c>
      <c r="C48" s="13">
        <v>0</v>
      </c>
      <c r="D48" s="14">
        <v>0</v>
      </c>
      <c r="E48" s="14">
        <f t="shared" si="22"/>
        <v>0</v>
      </c>
      <c r="F48" s="17">
        <v>2</v>
      </c>
      <c r="G48" s="14">
        <v>1027</v>
      </c>
      <c r="H48" s="14">
        <f t="shared" ref="H48" si="23">F48*G48</f>
        <v>2054</v>
      </c>
      <c r="I48" s="17">
        <v>20</v>
      </c>
      <c r="J48" s="17">
        <v>20</v>
      </c>
      <c r="K48" s="14">
        <f t="shared" ref="K48:K50" si="24">H48*(1-L48)</f>
        <v>513.5</v>
      </c>
      <c r="L48" s="15">
        <f t="shared" ref="L48:L50" si="25">IF((I48/J48)&gt;=0.75,0.75,IF((I48/J48)&gt;=0,(I48/J48),IF((I48/J48)&lt;=0.1,0)))</f>
        <v>0.75</v>
      </c>
      <c r="M48" s="14">
        <f t="shared" ref="M48:M50" si="26">H48-K48</f>
        <v>1540.5</v>
      </c>
      <c r="N48" s="18" t="s">
        <v>46</v>
      </c>
      <c r="O48" s="117" t="s">
        <v>65</v>
      </c>
    </row>
    <row r="49" spans="1:15" ht="65" customHeight="1" x14ac:dyDescent="0.2">
      <c r="A49" s="116">
        <v>3</v>
      </c>
      <c r="B49" s="16" t="s">
        <v>40</v>
      </c>
      <c r="C49" s="13">
        <v>0</v>
      </c>
      <c r="D49" s="14">
        <v>0</v>
      </c>
      <c r="E49" s="14">
        <f t="shared" ref="E49:E50" si="27">C49*D49</f>
        <v>0</v>
      </c>
      <c r="F49" s="17">
        <v>18</v>
      </c>
      <c r="G49" s="14">
        <v>200</v>
      </c>
      <c r="H49" s="14">
        <f t="shared" ref="H49:H50" si="28">F49*G49</f>
        <v>3600</v>
      </c>
      <c r="I49" s="17" t="s">
        <v>45</v>
      </c>
      <c r="J49" s="17" t="s">
        <v>45</v>
      </c>
      <c r="K49" s="14">
        <f t="shared" si="24"/>
        <v>3600</v>
      </c>
      <c r="L49" s="15">
        <v>0</v>
      </c>
      <c r="M49" s="14">
        <f t="shared" si="26"/>
        <v>0</v>
      </c>
      <c r="N49" s="18" t="s">
        <v>45</v>
      </c>
      <c r="O49" s="117" t="s">
        <v>66</v>
      </c>
    </row>
    <row r="50" spans="1:15" ht="65" customHeight="1" thickBot="1" x14ac:dyDescent="0.25">
      <c r="A50" s="118">
        <v>4</v>
      </c>
      <c r="B50" s="119" t="s">
        <v>67</v>
      </c>
      <c r="C50" s="120">
        <v>0</v>
      </c>
      <c r="D50" s="121">
        <v>0</v>
      </c>
      <c r="E50" s="121">
        <f t="shared" si="27"/>
        <v>0</v>
      </c>
      <c r="F50" s="122">
        <v>1</v>
      </c>
      <c r="G50" s="121">
        <v>291</v>
      </c>
      <c r="H50" s="121">
        <f t="shared" si="28"/>
        <v>291</v>
      </c>
      <c r="I50" s="122" t="s">
        <v>45</v>
      </c>
      <c r="J50" s="122" t="s">
        <v>45</v>
      </c>
      <c r="K50" s="121">
        <f t="shared" si="24"/>
        <v>291</v>
      </c>
      <c r="L50" s="123">
        <v>0</v>
      </c>
      <c r="M50" s="121">
        <f t="shared" si="26"/>
        <v>0</v>
      </c>
      <c r="N50" s="124" t="s">
        <v>45</v>
      </c>
      <c r="O50" s="125" t="s">
        <v>68</v>
      </c>
    </row>
    <row r="51" spans="1:15" s="4" customFormat="1" ht="18" customHeight="1" thickBot="1" x14ac:dyDescent="0.25">
      <c r="A51" s="68" t="s">
        <v>14</v>
      </c>
      <c r="B51" s="69"/>
      <c r="C51" s="69"/>
      <c r="D51" s="70"/>
      <c r="E51" s="19">
        <f>SUM(E47:E50)</f>
        <v>5945</v>
      </c>
      <c r="F51" s="20"/>
      <c r="G51" s="21"/>
      <c r="H51" s="22">
        <f>SUM(H47:H50)</f>
        <v>5945</v>
      </c>
      <c r="I51" s="71"/>
      <c r="J51" s="72"/>
      <c r="K51" s="23">
        <f>SUM(K47:K50)</f>
        <v>4404.5</v>
      </c>
      <c r="L51" s="23"/>
      <c r="M51" s="23">
        <f>SUM(M47:M50)</f>
        <v>1540.5</v>
      </c>
      <c r="N51"/>
    </row>
    <row r="52" spans="1:15" s="4" customFormat="1" ht="18" customHeight="1" x14ac:dyDescent="0.2">
      <c r="A52" s="64" t="s">
        <v>15</v>
      </c>
      <c r="B52" s="65"/>
      <c r="C52" s="65"/>
      <c r="D52" s="66"/>
      <c r="E52" s="24">
        <v>0</v>
      </c>
      <c r="F52" s="25"/>
      <c r="G52" s="26"/>
      <c r="H52" s="24">
        <v>0</v>
      </c>
      <c r="I52" s="75"/>
      <c r="J52" s="76"/>
      <c r="K52" s="27">
        <v>0</v>
      </c>
      <c r="L52" s="27"/>
      <c r="M52" s="27">
        <v>0</v>
      </c>
      <c r="N52"/>
    </row>
    <row r="53" spans="1:15" s="4" customFormat="1" ht="18" customHeight="1" x14ac:dyDescent="0.2">
      <c r="A53" s="64" t="s">
        <v>13</v>
      </c>
      <c r="B53" s="65"/>
      <c r="C53" s="65"/>
      <c r="D53" s="66"/>
      <c r="E53" s="28">
        <f>SUM(E51:E52)</f>
        <v>5945</v>
      </c>
      <c r="F53" s="29"/>
      <c r="G53" s="30"/>
      <c r="H53" s="28">
        <f>SUM(H51,H52)</f>
        <v>5945</v>
      </c>
      <c r="I53" s="73"/>
      <c r="J53" s="74"/>
      <c r="K53" s="31">
        <f>SUM(K51:K52)</f>
        <v>4404.5</v>
      </c>
      <c r="L53" s="31"/>
      <c r="M53" s="31">
        <f>SUM(M51:M52)</f>
        <v>1540.5</v>
      </c>
      <c r="N53"/>
    </row>
    <row r="54" spans="1:15" ht="12.75" customHeight="1" x14ac:dyDescent="0.2">
      <c r="A54" s="67"/>
      <c r="B54" s="6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6" spans="1:15" x14ac:dyDescent="0.2">
      <c r="B56" s="38" t="s">
        <v>16</v>
      </c>
      <c r="C56" s="39"/>
      <c r="D56" s="40"/>
      <c r="E56" s="44">
        <f>E53+E41+E24</f>
        <v>52821</v>
      </c>
    </row>
    <row r="57" spans="1:15" x14ac:dyDescent="0.2">
      <c r="B57" s="41"/>
      <c r="C57" s="42"/>
      <c r="D57" s="43"/>
      <c r="E57" s="54"/>
    </row>
    <row r="59" spans="1:15" x14ac:dyDescent="0.2">
      <c r="B59" s="38" t="s">
        <v>17</v>
      </c>
      <c r="C59" s="39"/>
      <c r="D59" s="40"/>
      <c r="E59" s="44">
        <f>H53+H41+H24</f>
        <v>52821</v>
      </c>
    </row>
    <row r="60" spans="1:15" x14ac:dyDescent="0.2">
      <c r="B60" s="41"/>
      <c r="C60" s="42"/>
      <c r="D60" s="43"/>
      <c r="E60" s="54"/>
    </row>
    <row r="62" spans="1:15" x14ac:dyDescent="0.2">
      <c r="B62" s="38" t="s">
        <v>18</v>
      </c>
      <c r="C62" s="39"/>
      <c r="D62" s="40"/>
      <c r="E62" s="44">
        <f>K53+K41+K24</f>
        <v>24409.5</v>
      </c>
    </row>
    <row r="63" spans="1:15" x14ac:dyDescent="0.2">
      <c r="B63" s="41"/>
      <c r="C63" s="42"/>
      <c r="D63" s="43"/>
      <c r="E63" s="54"/>
      <c r="I63" s="7"/>
      <c r="J63" s="7"/>
      <c r="K63" s="7"/>
      <c r="L63" s="7"/>
    </row>
    <row r="64" spans="1:15" x14ac:dyDescent="0.2">
      <c r="I64" s="7"/>
      <c r="J64" s="7"/>
      <c r="K64" s="7"/>
      <c r="L64" s="7"/>
    </row>
    <row r="65" spans="2:5" x14ac:dyDescent="0.2">
      <c r="B65" s="38" t="s">
        <v>19</v>
      </c>
      <c r="C65" s="39"/>
      <c r="D65" s="40"/>
      <c r="E65" s="44">
        <f>M53+M41+M24</f>
        <v>28411.5</v>
      </c>
    </row>
    <row r="66" spans="2:5" x14ac:dyDescent="0.2">
      <c r="B66" s="41"/>
      <c r="C66" s="42"/>
      <c r="D66" s="43"/>
      <c r="E66" s="45"/>
    </row>
  </sheetData>
  <mergeCells count="68">
    <mergeCell ref="I53:J53"/>
    <mergeCell ref="A23:D23"/>
    <mergeCell ref="I23:J23"/>
    <mergeCell ref="A24:D24"/>
    <mergeCell ref="I24:J24"/>
    <mergeCell ref="A51:D51"/>
    <mergeCell ref="I51:J51"/>
    <mergeCell ref="I52:J52"/>
    <mergeCell ref="I28:I29"/>
    <mergeCell ref="J28:J29"/>
    <mergeCell ref="A39:D39"/>
    <mergeCell ref="I39:J39"/>
    <mergeCell ref="A40:D40"/>
    <mergeCell ref="I40:J40"/>
    <mergeCell ref="A41:D41"/>
    <mergeCell ref="I41:J41"/>
    <mergeCell ref="A54:B54"/>
    <mergeCell ref="F9:H9"/>
    <mergeCell ref="A9:A10"/>
    <mergeCell ref="A8:O8"/>
    <mergeCell ref="C9:E9"/>
    <mergeCell ref="B9:B10"/>
    <mergeCell ref="A22:D22"/>
    <mergeCell ref="I22:J22"/>
    <mergeCell ref="L9:L10"/>
    <mergeCell ref="O9:O10"/>
    <mergeCell ref="I9:I10"/>
    <mergeCell ref="J9:J10"/>
    <mergeCell ref="K9:K10"/>
    <mergeCell ref="M9:M10"/>
    <mergeCell ref="N9:N10"/>
    <mergeCell ref="B62:D63"/>
    <mergeCell ref="E62:E63"/>
    <mergeCell ref="A1:E1"/>
    <mergeCell ref="A2:E2"/>
    <mergeCell ref="A3:E3"/>
    <mergeCell ref="A4:E4"/>
    <mergeCell ref="A5:E5"/>
    <mergeCell ref="E56:E57"/>
    <mergeCell ref="E59:E60"/>
    <mergeCell ref="A52:D52"/>
    <mergeCell ref="A53:D53"/>
    <mergeCell ref="A27:O27"/>
    <mergeCell ref="A28:A29"/>
    <mergeCell ref="B28:B29"/>
    <mergeCell ref="C28:E28"/>
    <mergeCell ref="F28:H28"/>
    <mergeCell ref="B65:D66"/>
    <mergeCell ref="E65:E66"/>
    <mergeCell ref="B56:D57"/>
    <mergeCell ref="B59:D60"/>
    <mergeCell ref="A44:O44"/>
    <mergeCell ref="A45:A46"/>
    <mergeCell ref="B45:B46"/>
    <mergeCell ref="C45:E45"/>
    <mergeCell ref="F45:H45"/>
    <mergeCell ref="I45:I46"/>
    <mergeCell ref="J45:J46"/>
    <mergeCell ref="K45:K46"/>
    <mergeCell ref="L45:L46"/>
    <mergeCell ref="M45:M46"/>
    <mergeCell ref="N45:N46"/>
    <mergeCell ref="O45:O46"/>
    <mergeCell ref="K28:K29"/>
    <mergeCell ref="L28:L29"/>
    <mergeCell ref="M28:M29"/>
    <mergeCell ref="N28:N29"/>
    <mergeCell ref="O28:O29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2026-02-07T18:19:29Z</dcterms:modified>
  <cp:category/>
  <cp:contentStatus/>
</cp:coreProperties>
</file>